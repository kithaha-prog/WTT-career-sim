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mTzeKit\Downloads\乒乓球生涯模拟器最新版\"/>
    </mc:Choice>
  </mc:AlternateContent>
  <xr:revisionPtr revIDLastSave="0" documentId="13_ncr:1_{8DCC20C5-EBF3-438D-9CE7-569536AEA2CB}" xr6:coauthVersionLast="47" xr6:coauthVersionMax="47" xr10:uidLastSave="{00000000-0000-0000-0000-000000000000}"/>
  <bookViews>
    <workbookView xWindow="-108" yWindow="-108" windowWidth="23256" windowHeight="12456" xr2:uid="{F12F932D-E292-49A8-B6A6-23514441259D}"/>
  </bookViews>
  <sheets>
    <sheet name="blade" sheetId="1" r:id="rId1"/>
    <sheet name="fh" sheetId="2" r:id="rId2"/>
    <sheet name="bh" sheetId="3" r:id="rId3"/>
    <sheet name="shoes" sheetId="4" r:id="rId4"/>
    <sheet name="gear" sheetId="5" r:id="rId5"/>
    <sheet name="commercial" sheetId="6" r:id="rId6"/>
  </sheets>
  <definedNames>
    <definedName name="_xlnm._FilterDatabase" localSheetId="0" hidden="1">blade!$A$2:$N$2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3" i="1" l="1"/>
  <c r="K43" i="1" a="1"/>
  <c r="K43" i="1" s="1"/>
  <c r="L43" i="1" a="1"/>
  <c r="L43" i="1" s="1"/>
  <c r="M43" i="1" a="1"/>
  <c r="M43" i="1" s="1"/>
  <c r="E44" i="1"/>
  <c r="K44" i="1" a="1"/>
  <c r="K44" i="1"/>
  <c r="L44" i="1" a="1"/>
  <c r="L44" i="1" s="1"/>
  <c r="M44" i="1" a="1"/>
  <c r="M44" i="1"/>
  <c r="E45" i="1"/>
  <c r="K45" i="1" a="1"/>
  <c r="K45" i="1"/>
  <c r="L45" i="1" a="1"/>
  <c r="L45" i="1" s="1"/>
  <c r="M45" i="1" a="1"/>
  <c r="M45" i="1" s="1"/>
  <c r="E28" i="1"/>
  <c r="K28" i="1" a="1"/>
  <c r="K28" i="1" s="1"/>
  <c r="L28" i="1" a="1"/>
  <c r="L28" i="1"/>
  <c r="M28" i="1" a="1"/>
  <c r="M28" i="1" s="1"/>
  <c r="E13" i="1"/>
  <c r="K13" i="1" a="1"/>
  <c r="K13" i="1" s="1"/>
  <c r="L13" i="1" a="1"/>
  <c r="L13" i="1" s="1"/>
  <c r="M13" i="1" a="1"/>
  <c r="M13" i="1" s="1"/>
  <c r="E47" i="1"/>
  <c r="K47" i="1" a="1"/>
  <c r="K47" i="1" s="1"/>
  <c r="N47" i="1" s="1"/>
  <c r="L47" i="1" a="1"/>
  <c r="L47" i="1"/>
  <c r="M47" i="1" a="1"/>
  <c r="M47" i="1" s="1"/>
  <c r="E48" i="1"/>
  <c r="K48" i="1" a="1"/>
  <c r="K48" i="1" s="1"/>
  <c r="L48" i="1" a="1"/>
  <c r="L48" i="1" s="1"/>
  <c r="M48" i="1" a="1"/>
  <c r="M48" i="1"/>
  <c r="E19" i="1"/>
  <c r="K19" i="1" a="1"/>
  <c r="K19" i="1" s="1"/>
  <c r="L19" i="1" a="1"/>
  <c r="L19" i="1" s="1"/>
  <c r="M19" i="1" a="1"/>
  <c r="M19" i="1" s="1"/>
  <c r="E20" i="1"/>
  <c r="K20" i="1" a="1"/>
  <c r="K20" i="1" s="1"/>
  <c r="L20" i="1" a="1"/>
  <c r="L20" i="1" s="1"/>
  <c r="M20" i="1" a="1"/>
  <c r="M20" i="1" s="1"/>
  <c r="E21" i="1"/>
  <c r="K21" i="1" a="1"/>
  <c r="K21" i="1" s="1"/>
  <c r="L21" i="1" a="1"/>
  <c r="L21" i="1" s="1"/>
  <c r="M21" i="1" a="1"/>
  <c r="M21" i="1" s="1"/>
  <c r="E22" i="1"/>
  <c r="K22" i="1" a="1"/>
  <c r="K22" i="1"/>
  <c r="L22" i="1" a="1"/>
  <c r="L22" i="1" s="1"/>
  <c r="M22" i="1" a="1"/>
  <c r="M22" i="1" s="1"/>
  <c r="E23" i="1"/>
  <c r="K23" i="1" a="1"/>
  <c r="K23" i="1" s="1"/>
  <c r="L23" i="1" a="1"/>
  <c r="L23" i="1" s="1"/>
  <c r="M23" i="1" a="1"/>
  <c r="M23" i="1" s="1"/>
  <c r="E24" i="1"/>
  <c r="K24" i="1" a="1"/>
  <c r="K24" i="1" s="1"/>
  <c r="L24" i="1" a="1"/>
  <c r="L24" i="1" s="1"/>
  <c r="M24" i="1" a="1"/>
  <c r="M24" i="1" s="1"/>
  <c r="E25" i="1"/>
  <c r="K25" i="1" a="1"/>
  <c r="K25" i="1" s="1"/>
  <c r="L25" i="1" a="1"/>
  <c r="L25" i="1" s="1"/>
  <c r="M25" i="1" a="1"/>
  <c r="M25" i="1" s="1"/>
  <c r="E26" i="1"/>
  <c r="K26" i="1" a="1"/>
  <c r="K26" i="1" s="1"/>
  <c r="L26" i="1" a="1"/>
  <c r="L26" i="1" s="1"/>
  <c r="M26" i="1" a="1"/>
  <c r="M26" i="1" s="1"/>
  <c r="E27" i="1"/>
  <c r="K27" i="1" a="1"/>
  <c r="K27" i="1" s="1"/>
  <c r="L27" i="1" a="1"/>
  <c r="L27" i="1" s="1"/>
  <c r="M27" i="1" a="1"/>
  <c r="M27" i="1" s="1"/>
  <c r="E42" i="1"/>
  <c r="K42" i="1" a="1"/>
  <c r="K42" i="1" s="1"/>
  <c r="L42" i="1" a="1"/>
  <c r="L42" i="1" s="1"/>
  <c r="M42" i="1" a="1"/>
  <c r="M42" i="1" s="1"/>
  <c r="E34" i="1"/>
  <c r="K34" i="1" a="1"/>
  <c r="K34" i="1" s="1"/>
  <c r="L34" i="1" a="1"/>
  <c r="L34" i="1" s="1"/>
  <c r="M34" i="1" a="1"/>
  <c r="M34" i="1" s="1"/>
  <c r="E35" i="1"/>
  <c r="K35" i="1" a="1"/>
  <c r="K35" i="1" s="1"/>
  <c r="L35" i="1" a="1"/>
  <c r="L35" i="1" s="1"/>
  <c r="M35" i="1" a="1"/>
  <c r="M35" i="1" s="1"/>
  <c r="E36" i="1"/>
  <c r="K36" i="1" a="1"/>
  <c r="K36" i="1" s="1"/>
  <c r="L36" i="1" a="1"/>
  <c r="L36" i="1" s="1"/>
  <c r="M36" i="1" a="1"/>
  <c r="M36" i="1" s="1"/>
  <c r="E37" i="1"/>
  <c r="K37" i="1" a="1"/>
  <c r="K37" i="1" s="1"/>
  <c r="L37" i="1" a="1"/>
  <c r="L37" i="1" s="1"/>
  <c r="M37" i="1" a="1"/>
  <c r="M37" i="1" s="1"/>
  <c r="E38" i="1"/>
  <c r="K38" i="1" a="1"/>
  <c r="K38" i="1" s="1"/>
  <c r="L38" i="1" a="1"/>
  <c r="L38" i="1" s="1"/>
  <c r="M38" i="1" a="1"/>
  <c r="M38" i="1" s="1"/>
  <c r="E39" i="1"/>
  <c r="K39" i="1" a="1"/>
  <c r="K39" i="1" s="1"/>
  <c r="L39" i="1" a="1"/>
  <c r="L39" i="1" s="1"/>
  <c r="M39" i="1" a="1"/>
  <c r="M39" i="1" s="1"/>
  <c r="E40" i="1"/>
  <c r="K40" i="1" a="1"/>
  <c r="K40" i="1" s="1"/>
  <c r="L40" i="1" a="1"/>
  <c r="L40" i="1" s="1"/>
  <c r="M40" i="1" a="1"/>
  <c r="M40" i="1" s="1"/>
  <c r="E41" i="1"/>
  <c r="K41" i="1" a="1"/>
  <c r="K41" i="1" s="1"/>
  <c r="L41" i="1" a="1"/>
  <c r="L41" i="1" s="1"/>
  <c r="M41" i="1" a="1"/>
  <c r="M41" i="1" s="1"/>
  <c r="E18" i="1"/>
  <c r="K18" i="1" a="1"/>
  <c r="K18" i="1" s="1"/>
  <c r="L18" i="1" a="1"/>
  <c r="L18" i="1" s="1"/>
  <c r="M18" i="1" a="1"/>
  <c r="M18" i="1" s="1"/>
  <c r="K12" i="1" a="1"/>
  <c r="K12" i="1" s="1"/>
  <c r="L12" i="1" a="1"/>
  <c r="L12" i="1" s="1"/>
  <c r="M12" i="1" a="1"/>
  <c r="M12" i="1" s="1"/>
  <c r="K14" i="1" a="1"/>
  <c r="K14" i="1" s="1"/>
  <c r="L14" i="1" a="1"/>
  <c r="L14" i="1"/>
  <c r="M14" i="1" a="1"/>
  <c r="M14" i="1"/>
  <c r="K29" i="1" a="1"/>
  <c r="K29" i="1" s="1"/>
  <c r="L29" i="1" a="1"/>
  <c r="L29" i="1" s="1"/>
  <c r="M29" i="1" a="1"/>
  <c r="M29" i="1" s="1"/>
  <c r="K46" i="1" a="1"/>
  <c r="K46" i="1" s="1"/>
  <c r="L46" i="1" a="1"/>
  <c r="L46" i="1" s="1"/>
  <c r="M46" i="1" a="1"/>
  <c r="M46" i="1" s="1"/>
  <c r="K15" i="1" a="1"/>
  <c r="K15" i="1"/>
  <c r="L15" i="1" a="1"/>
  <c r="L15" i="1" s="1"/>
  <c r="M15" i="1" a="1"/>
  <c r="M15" i="1"/>
  <c r="K16" i="1" a="1"/>
  <c r="K16" i="1" s="1"/>
  <c r="L16" i="1" a="1"/>
  <c r="L16" i="1" s="1"/>
  <c r="M16" i="1" a="1"/>
  <c r="M16" i="1" s="1"/>
  <c r="K5" i="1" a="1"/>
  <c r="K5" i="1" s="1"/>
  <c r="L5" i="1" a="1"/>
  <c r="L5" i="1" s="1"/>
  <c r="O4" i="1" s="1"/>
  <c r="M5" i="1" a="1"/>
  <c r="M5" i="1"/>
  <c r="K6" i="1" a="1"/>
  <c r="K6" i="1" s="1"/>
  <c r="L6" i="1" a="1"/>
  <c r="L6" i="1" s="1"/>
  <c r="M6" i="1" a="1"/>
  <c r="M6" i="1" s="1"/>
  <c r="K7" i="1" a="1"/>
  <c r="K7" i="1" s="1"/>
  <c r="L7" i="1" a="1"/>
  <c r="L7" i="1" s="1"/>
  <c r="M7" i="1" a="1"/>
  <c r="M7" i="1" s="1"/>
  <c r="K8" i="1" a="1"/>
  <c r="K8" i="1"/>
  <c r="L8" i="1" a="1"/>
  <c r="L8" i="1"/>
  <c r="M8" i="1" a="1"/>
  <c r="M8" i="1" s="1"/>
  <c r="K9" i="1" a="1"/>
  <c r="K9" i="1" s="1"/>
  <c r="L9" i="1" a="1"/>
  <c r="L9" i="1"/>
  <c r="M9" i="1" a="1"/>
  <c r="M9" i="1" s="1"/>
  <c r="K17" i="1" a="1"/>
  <c r="K17" i="1" s="1"/>
  <c r="L17" i="1" a="1"/>
  <c r="L17" i="1" s="1"/>
  <c r="M17" i="1" a="1"/>
  <c r="M17" i="1" s="1"/>
  <c r="K30" i="1" a="1"/>
  <c r="K30" i="1" s="1"/>
  <c r="L30" i="1" a="1"/>
  <c r="L30" i="1" s="1"/>
  <c r="M30" i="1" a="1"/>
  <c r="M30" i="1" s="1"/>
  <c r="K10" i="1" a="1"/>
  <c r="K10" i="1"/>
  <c r="L10" i="1" a="1"/>
  <c r="L10" i="1" s="1"/>
  <c r="M10" i="1" a="1"/>
  <c r="M10" i="1" s="1"/>
  <c r="K31" i="1" a="1"/>
  <c r="K31" i="1" s="1"/>
  <c r="L31" i="1" a="1"/>
  <c r="L31" i="1" s="1"/>
  <c r="M31" i="1" a="1"/>
  <c r="M31" i="1" s="1"/>
  <c r="K32" i="1" a="1"/>
  <c r="K32" i="1" s="1"/>
  <c r="L32" i="1" a="1"/>
  <c r="L32" i="1" s="1"/>
  <c r="M32" i="1" a="1"/>
  <c r="M32" i="1" s="1"/>
  <c r="K33" i="1" a="1"/>
  <c r="K33" i="1" s="1"/>
  <c r="L33" i="1" a="1"/>
  <c r="L33" i="1" s="1"/>
  <c r="M33" i="1" a="1"/>
  <c r="M33" i="1" s="1"/>
  <c r="O3" i="1"/>
  <c r="L11" i="1" a="1"/>
  <c r="L11" i="1" s="1"/>
  <c r="M11" i="1" a="1"/>
  <c r="M11" i="1" s="1"/>
  <c r="K11" i="1" a="1"/>
  <c r="K11" i="1" s="1"/>
  <c r="E29" i="1"/>
  <c r="E46" i="1"/>
  <c r="E15" i="1"/>
  <c r="E16" i="1"/>
  <c r="E5" i="1"/>
  <c r="E6" i="1"/>
  <c r="E7" i="1"/>
  <c r="E8" i="1"/>
  <c r="E9" i="1"/>
  <c r="E17" i="1"/>
  <c r="E30" i="1"/>
  <c r="E10" i="1"/>
  <c r="E31" i="1"/>
  <c r="E32" i="1"/>
  <c r="E33" i="1"/>
  <c r="E14" i="1"/>
  <c r="E12" i="1"/>
  <c r="E11" i="1"/>
  <c r="N4" i="1"/>
  <c r="N3" i="1"/>
  <c r="N44" i="1" l="1"/>
  <c r="N15" i="1"/>
  <c r="O48" i="1"/>
  <c r="N48" i="1"/>
  <c r="O43" i="1"/>
  <c r="O47" i="1"/>
  <c r="N5" i="1"/>
  <c r="N13" i="1"/>
  <c r="O45" i="1"/>
  <c r="N28" i="1"/>
  <c r="N45" i="1"/>
  <c r="N43" i="1"/>
  <c r="O42" i="1"/>
  <c r="N42" i="1"/>
  <c r="O44" i="1"/>
  <c r="O46" i="1"/>
  <c r="N27" i="1"/>
  <c r="O38" i="1"/>
  <c r="N24" i="1"/>
  <c r="N23" i="1"/>
  <c r="N20" i="1"/>
  <c r="N18" i="1"/>
  <c r="O31" i="1"/>
  <c r="O35" i="1"/>
  <c r="O33" i="1"/>
  <c r="O40" i="1"/>
  <c r="O36" i="1"/>
  <c r="O37" i="1"/>
  <c r="O32" i="1"/>
  <c r="N21" i="1"/>
  <c r="O34" i="1"/>
  <c r="N26" i="1"/>
  <c r="O39" i="1"/>
  <c r="N25" i="1"/>
  <c r="O41" i="1"/>
  <c r="N22" i="1"/>
  <c r="N19" i="1"/>
  <c r="N41" i="1"/>
  <c r="N40" i="1"/>
  <c r="O29" i="1"/>
  <c r="N39" i="1"/>
  <c r="O28" i="1"/>
  <c r="O27" i="1"/>
  <c r="N38" i="1"/>
  <c r="N37" i="1"/>
  <c r="N35" i="1"/>
  <c r="O24" i="1"/>
  <c r="N34" i="1"/>
  <c r="O23" i="1"/>
  <c r="N33" i="1"/>
  <c r="O26" i="1"/>
  <c r="O30" i="1"/>
  <c r="N36" i="1"/>
  <c r="O25" i="1"/>
  <c r="N31" i="1"/>
  <c r="N10" i="1"/>
  <c r="N30" i="1"/>
  <c r="O11" i="1"/>
  <c r="N7" i="1"/>
  <c r="O22" i="1"/>
  <c r="N9" i="1"/>
  <c r="O16" i="1"/>
  <c r="N8" i="1"/>
  <c r="N11" i="1"/>
  <c r="O19" i="1"/>
  <c r="O13" i="1"/>
  <c r="O18" i="1"/>
  <c r="N46" i="1"/>
  <c r="N6" i="1"/>
  <c r="O12" i="1"/>
  <c r="N16" i="1"/>
  <c r="O14" i="1"/>
  <c r="O15" i="1"/>
  <c r="N17" i="1"/>
  <c r="N32" i="1"/>
  <c r="O20" i="1"/>
  <c r="O21" i="1"/>
  <c r="O10" i="1"/>
  <c r="O17" i="1"/>
  <c r="O7" i="1"/>
  <c r="O5" i="1"/>
  <c r="O9" i="1"/>
  <c r="N29" i="1"/>
  <c r="O8" i="1"/>
  <c r="N14" i="1"/>
  <c r="O6" i="1"/>
  <c r="N1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<sst xmlns="http://schemas.openxmlformats.org/spreadsheetml/2006/main" count="149" uniqueCount="108">
  <si>
    <t>const GEAR_DATABASE = {blade: []}</t>
  </si>
  <si>
    <t>id</t>
  </si>
  <si>
    <t>name</t>
  </si>
  <si>
    <t>tier</t>
  </si>
  <si>
    <t>price</t>
  </si>
  <si>
    <t>rankReq</t>
  </si>
  <si>
    <t>sponsorBrand</t>
  </si>
  <si>
    <t>speed</t>
  </si>
  <si>
    <t>spin</t>
  </si>
  <si>
    <t>control</t>
  </si>
  <si>
    <t>const SPONSORS_DATABASE = {[]}</t>
  </si>
  <si>
    <t xml:space="preserve"> 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</si>
  <si>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</si>
  <si>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</si>
  <si>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</si>
  <si>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</si>
  <si>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</si>
  <si>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</si>
  <si>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</si>
  <si>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</si>
  <si>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</si>
  <si>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</si>
  <si>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</si>
  <si>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</si>
  <si>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</si>
  <si>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</si>
  <si>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</si>
  <si>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</si>
  <si>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</si>
  <si>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</si>
  <si>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</si>
  <si>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</si>
  <si>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</si>
  <si>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</si>
  <si>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</si>
  <si>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红双喜4星成品底板</t>
  </si>
  <si>
    <t>五层纯木复刻底板</t>
  </si>
  <si>
    <t>total</t>
  </si>
  <si>
    <t>雷神 (LOKI)</t>
  </si>
  <si>
    <t>729 (友谊)</t>
  </si>
  <si>
    <t>729 L-5 郝帅</t>
  </si>
  <si>
    <t>729 王朝桧木</t>
  </si>
  <si>
    <t>729 黑软碳</t>
  </si>
  <si>
    <t>729 黄芳碳</t>
  </si>
  <si>
    <t>729 蓝芳碳</t>
  </si>
  <si>
    <t>雷神 锐龙9 Pro</t>
  </si>
  <si>
    <t>雷神 锐龙7 Pro</t>
  </si>
  <si>
    <t>雷神 LJK ALC 粉特注</t>
  </si>
  <si>
    <t>雷神 LJK ALC</t>
  </si>
  <si>
    <t>雷神 K5外置</t>
  </si>
  <si>
    <t>雷神 K1</t>
  </si>
  <si>
    <t>雷神 K5内置</t>
  </si>
  <si>
    <t>729 黑檀7</t>
  </si>
  <si>
    <t>蝴蝶 波尔30周年</t>
  </si>
  <si>
    <t>蝴蝶 (Butterfly)</t>
  </si>
  <si>
    <t>b24</t>
  </si>
  <si>
    <t>b25</t>
  </si>
  <si>
    <t>b26</t>
  </si>
  <si>
    <t>b27</t>
  </si>
  <si>
    <t>b28</t>
  </si>
  <si>
    <t>b29</t>
  </si>
  <si>
    <t>蝴蝶 樊振东SZLC</t>
  </si>
  <si>
    <t>蝴蝶 张本SZLC</t>
  </si>
  <si>
    <t>蝴蝶 林昀儒SZLC</t>
  </si>
  <si>
    <t>蝴蝶 水谷SZLC</t>
  </si>
  <si>
    <t>蝴蝶 樊振东ZLC</t>
  </si>
  <si>
    <t>蝴蝶 张本ZLC</t>
  </si>
  <si>
    <t>蝴蝶 超级维斯ALC</t>
  </si>
  <si>
    <t>蝴蝶 樊振东SALC</t>
  </si>
  <si>
    <t>蝴蝶 张本SALC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</si>
  <si>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</si>
  <si>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</si>
  <si>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</si>
  <si>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</si>
  <si>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</si>
  <si>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</si>
  <si>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</si>
  <si>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</si>
  <si>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</si>
  <si>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</si>
  <si>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蝴蝶 内置ZLC</t>
  </si>
  <si>
    <t>蝴蝶 外置ZLC</t>
  </si>
  <si>
    <t>蝴蝶 樊振东ALC</t>
  </si>
  <si>
    <t>蝴蝶 弗雷塔斯ALC</t>
  </si>
  <si>
    <t>蝴蝶 弗朗西斯卡ZLC</t>
  </si>
  <si>
    <t>蝴蝶 张本ALC</t>
  </si>
  <si>
    <t>蝴蝶 奥恰ALC</t>
  </si>
  <si>
    <t>蝴蝶 波尔ALC</t>
  </si>
  <si>
    <t>蝴蝶 维斯</t>
  </si>
  <si>
    <t>蝴蝶 张继科ALC</t>
  </si>
  <si>
    <t>蝴蝶 科贝尔纯木 (日版)</t>
  </si>
  <si>
    <t>b40</t>
  </si>
  <si>
    <t>b41</t>
  </si>
  <si>
    <t>b42</t>
  </si>
  <si>
    <t>b43</t>
  </si>
  <si>
    <t>b44</t>
  </si>
  <si>
    <t>b45</t>
  </si>
  <si>
    <t>b46</t>
  </si>
  <si>
    <t>红双喜 龙5 W968S</t>
  </si>
  <si>
    <t>红双喜 (DHS)</t>
  </si>
  <si>
    <t>红双喜 Q968</t>
  </si>
  <si>
    <t>红双喜 龙5X</t>
  </si>
  <si>
    <t>红双喜 W968 金满贯</t>
  </si>
  <si>
    <t>红双喜 博芳碳</t>
  </si>
  <si>
    <t>红双喜 劲极7</t>
  </si>
  <si>
    <t>岸度 TP_LIGNA  玄武岩内置</t>
  </si>
  <si>
    <t>岸度 动能探索者 OFF+</t>
  </si>
  <si>
    <t>岸度 (Andro)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</si>
</sst>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STFangsong"/>
    </font>
    <font>
      <b/>
      <sz val="11"/>
      <color theme="1"/>
      <name val="STFangsong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651CF-8E6F-4E2C-8A94-4B02FC0A4D09}">
  <dimension ref="A1:O48"/>
  <sheetViews>
    <sheetView tabSelected="1" workbookViewId="0">
      <selection activeCell="G8" sqref="G8"/>
    </sheetView>
  </sheetViews>
  <sheetFormatPr defaultRowHeight="15.6" x14ac:dyDescent="0.35"/>
  <cols>
    <col min="1" max="1" width="8.88671875" style="1"/>
    <col min="2" max="2" width="28.21875" style="2" bestFit="1" customWidth="1"/>
    <col min="3" max="6" width="8.88671875" style="1"/>
    <col min="7" max="7" width="13.5546875" style="1" bestFit="1" customWidth="1"/>
    <col min="8" max="10" width="8.88671875" style="1"/>
    <col min="11" max="13" width="8.88671875" style="2"/>
    <col min="14" max="14" width="8.88671875" style="1"/>
    <col min="15" max="16384" width="8.88671875" style="3"/>
  </cols>
  <sheetData>
    <row r="1" spans="1:15" x14ac:dyDescent="0.35">
      <c r="A1" s="1" t="s">
        <v>0</v>
      </c>
    </row>
    <row r="2" spans="1:15" x14ac:dyDescent="0.35">
      <c r="A2" s="1" t="s">
        <v>1</v>
      </c>
      <c r="B2" s="2" t="s">
        <v>2</v>
      </c>
      <c r="C2" s="1" t="s">
        <v>3</v>
      </c>
      <c r="D2" s="1" t="s">
        <v>4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2" t="s">
        <v>7</v>
      </c>
      <c r="L2" s="2" t="s">
        <v>8</v>
      </c>
      <c r="M2" s="2" t="s">
        <v>9</v>
      </c>
      <c r="N2" s="1" t="s">
        <v>37</v>
      </c>
    </row>
    <row r="3" spans="1:15" x14ac:dyDescent="0.35">
      <c r="A3" s="1" t="s">
        <v>12</v>
      </c>
      <c r="B3" s="2" t="s">
        <v>35</v>
      </c>
      <c r="C3" s="1">
        <v>1</v>
      </c>
      <c r="E3" s="1">
        <v>0</v>
      </c>
      <c r="F3" s="1">
        <v>999</v>
      </c>
      <c r="K3" s="2">
        <v>1</v>
      </c>
      <c r="L3" s="2">
        <v>2</v>
      </c>
      <c r="M3" s="2">
        <v>1</v>
      </c>
      <c r="N3" s="1">
        <f>SUM(K3:M3)</f>
        <v>4</v>
      </c>
      <c r="O3" s="3" t="str">
        <f>"{ id: '"&amp;A3&amp;"', name: '"&amp;B3&amp;"', tier: '"&amp;C3&amp;"', price: '"&amp;E3&amp;"', rankReq: '"&amp;F3&amp;"', speed: "&amp;K3&amp;",spin: "&amp;L3&amp;", control: "&amp;M3&amp;"},"</f>
        <v>{ id: 'b1', name: '红双喜4星成品底板', tier: '1', price: '0', rankReq: '999', speed: 1,spin: 2, control: 1},</v>
      </c>
    </row>
    <row r="4" spans="1:15" x14ac:dyDescent="0.35">
      <c r="A4" s="1" t="s">
        <v>13</v>
      </c>
      <c r="B4" s="2" t="s">
        <v>36</v>
      </c>
      <c r="C4" s="1">
        <v>1</v>
      </c>
      <c r="E4" s="1">
        <v>0</v>
      </c>
      <c r="F4" s="1">
        <v>999</v>
      </c>
      <c r="K4" s="2">
        <v>2</v>
      </c>
      <c r="L4" s="2">
        <v>1</v>
      </c>
      <c r="M4" s="2">
        <v>1</v>
      </c>
      <c r="N4" s="1">
        <f>SUM(K4:M4)</f>
        <v>4</v>
      </c>
      <c r="O4" s="3" t="str">
        <f>"{ id: '"&amp;A4&amp;"', name: '"&amp;B4&amp;"', tier: '"&amp;C4&amp;"', price: '"&amp;E4&amp;"', rankReq: '"&amp;F4&amp;"', speed: "&amp;K4&amp;",spin: "&amp;L4&amp;", control: "&amp;M4&amp;"},"</f>
        <v>{ id: 'b2', name: '五层纯木复刻底板', tier: '1', price: '0', rankReq: '999', speed: 2,spin: 1, control: 1},</v>
      </c>
    </row>
    <row r="5" spans="1:15" x14ac:dyDescent="0.35">
      <c r="A5" s="1" t="s">
        <v>21</v>
      </c>
      <c r="B5" s="2" t="s">
        <v>42</v>
      </c>
      <c r="C5" s="1">
        <v>2</v>
      </c>
      <c r="D5" s="1">
        <v>34.5</v>
      </c>
      <c r="E5" s="1">
        <f>D5*30</f>
        <v>1035</v>
      </c>
      <c r="F5" s="1">
        <v>500</v>
      </c>
      <c r="G5" s="1" t="s">
        <v>39</v>
      </c>
      <c r="H5" s="1">
        <v>91</v>
      </c>
      <c r="I5" s="1">
        <v>71</v>
      </c>
      <c r="J5" s="1">
        <v>70</v>
      </c>
      <c r="K5" s="2" cm="1">
        <f t="array" ref="K5">ROUNDUP(_xlfn.IFS($C5=2,H5/20,$C5=3,H5/18,$C5=4,H5/16),2)</f>
        <v>4.55</v>
      </c>
      <c r="L5" s="2" cm="1">
        <f t="array" ref="L5">ROUNDUP(_xlfn.IFS($C5=2,I5/20,$C5=3,I5/18,$C5=4,I5/16),2)</f>
        <v>3.55</v>
      </c>
      <c r="M5" s="2" cm="1">
        <f t="array" ref="M5">ROUNDUP(_xlfn.IFS($C5=2,J5/20,$C5=3,J5/18,$C5=4,J5/16),2)</f>
        <v>3.5</v>
      </c>
      <c r="N5" s="1">
        <f>SUM(K5:M5)</f>
        <v>11.6</v>
      </c>
      <c r="O5" s="3" t="str">
        <f>"{ id: '"&amp;A5&amp;"', name: '"&amp;B5&amp;"', tier: '"&amp;C5&amp;"', price: '"&amp;E5&amp;"', rankReq: '"&amp;F5&amp;"', sponsorBrand: '"&amp;G5&amp;"', speed: "&amp;K5&amp;",spin: "&amp;L5&amp;", control: "&amp;M5&amp;"},"</f>
        <v>{ id: 'b10', name: '729 黑软碳', tier: '2', price: '1035', rankReq: '500', sponsorBrand: '729 (友谊)', speed: 4.55,spin: 3.55, control: 3.5},</v>
      </c>
    </row>
    <row r="6" spans="1:15" x14ac:dyDescent="0.35">
      <c r="A6" s="1" t="s">
        <v>22</v>
      </c>
      <c r="B6" s="2" t="s">
        <v>40</v>
      </c>
      <c r="C6" s="1">
        <v>2</v>
      </c>
      <c r="D6" s="1">
        <v>34.5</v>
      </c>
      <c r="E6" s="1">
        <f>D6*30</f>
        <v>1035</v>
      </c>
      <c r="F6" s="1">
        <v>500</v>
      </c>
      <c r="G6" s="1" t="s">
        <v>39</v>
      </c>
      <c r="H6" s="1">
        <v>86</v>
      </c>
      <c r="I6" s="1">
        <v>78</v>
      </c>
      <c r="J6" s="1">
        <v>60</v>
      </c>
      <c r="K6" s="2" cm="1">
        <f t="array" ref="K6">ROUNDUP(_xlfn.IFS($C6=2,H6/20,$C6=3,H6/18,$C6=4,H6/16),2)</f>
        <v>4.3</v>
      </c>
      <c r="L6" s="2" cm="1">
        <f t="array" ref="L6">ROUNDUP(_xlfn.IFS($C6=2,I6/20,$C6=3,I6/18,$C6=4,I6/16),2)</f>
        <v>3.9</v>
      </c>
      <c r="M6" s="2" cm="1">
        <f t="array" ref="M6">ROUNDUP(_xlfn.IFS($C6=2,J6/20,$C6=3,J6/18,$C6=4,J6/16),2)</f>
        <v>3</v>
      </c>
      <c r="N6" s="1">
        <f>SUM(K6:M6)</f>
        <v>11.2</v>
      </c>
      <c r="O6" s="3" t="str">
        <f>"{ id: '"&amp;A6&amp;"', name: '"&amp;B6&amp;"', tier: '"&amp;C6&amp;"', price: '"&amp;E6&amp;"', rankReq: '"&amp;F6&amp;"', sponsorBrand: '"&amp;G6&amp;"', speed: "&amp;K6&amp;",spin: "&amp;L6&amp;", control: "&amp;M6&amp;"},"</f>
        <v>{ id: 'b11', name: '729 L-5 郝帅', tier: '2', price: '1035', rankReq: '500', sponsorBrand: '729 (友谊)', speed: 4.3,spin: 3.9, control: 3},</v>
      </c>
    </row>
    <row r="7" spans="1:15" x14ac:dyDescent="0.35">
      <c r="A7" s="1" t="s">
        <v>23</v>
      </c>
      <c r="B7" s="2" t="s">
        <v>43</v>
      </c>
      <c r="C7" s="1">
        <v>2</v>
      </c>
      <c r="D7" s="1">
        <v>34.5</v>
      </c>
      <c r="E7" s="1">
        <f>D7*30</f>
        <v>1035</v>
      </c>
      <c r="F7" s="1">
        <v>500</v>
      </c>
      <c r="G7" s="1" t="s">
        <v>39</v>
      </c>
      <c r="H7" s="1">
        <v>82</v>
      </c>
      <c r="I7" s="1">
        <v>79</v>
      </c>
      <c r="J7" s="1">
        <v>63</v>
      </c>
      <c r="K7" s="2" cm="1">
        <f t="array" ref="K7">ROUNDUP(_xlfn.IFS($C7=2,H7/20,$C7=3,H7/18,$C7=4,H7/16),2)</f>
        <v>4.0999999999999996</v>
      </c>
      <c r="L7" s="2" cm="1">
        <f t="array" ref="L7">ROUNDUP(_xlfn.IFS($C7=2,I7/20,$C7=3,I7/18,$C7=4,I7/16),2)</f>
        <v>3.95</v>
      </c>
      <c r="M7" s="2" cm="1">
        <f t="array" ref="M7">ROUNDUP(_xlfn.IFS($C7=2,J7/20,$C7=3,J7/18,$C7=4,J7/16),2)</f>
        <v>3.15</v>
      </c>
      <c r="N7" s="1">
        <f>SUM(K7:M7)</f>
        <v>11.200000000000001</v>
      </c>
      <c r="O7" s="3" t="str">
        <f>"{ id: '"&amp;A7&amp;"', name: '"&amp;B7&amp;"', tier: '"&amp;C7&amp;"', price: '"&amp;E7&amp;"', rankReq: '"&amp;F7&amp;"', sponsorBrand: '"&amp;G7&amp;"', speed: "&amp;K7&amp;",spin: "&amp;L7&amp;", control: "&amp;M7&amp;"},"</f>
        <v>{ id: 'b12', name: '729 黄芳碳', tier: '2', price: '1035', rankReq: '500', sponsorBrand: '729 (友谊)', speed: 4.1,spin: 3.95, control: 3.15},</v>
      </c>
    </row>
    <row r="8" spans="1:15" x14ac:dyDescent="0.35">
      <c r="A8" s="1" t="s">
        <v>24</v>
      </c>
      <c r="B8" s="2" t="s">
        <v>44</v>
      </c>
      <c r="C8" s="1">
        <v>2</v>
      </c>
      <c r="D8" s="1">
        <v>30</v>
      </c>
      <c r="E8" s="1">
        <f>D8*30</f>
        <v>900</v>
      </c>
      <c r="F8" s="1">
        <v>500</v>
      </c>
      <c r="G8" s="1" t="s">
        <v>39</v>
      </c>
      <c r="H8" s="1">
        <v>97</v>
      </c>
      <c r="I8" s="1">
        <v>74</v>
      </c>
      <c r="J8" s="1">
        <v>71</v>
      </c>
      <c r="K8" s="2" cm="1">
        <f t="array" ref="K8">ROUNDUP(_xlfn.IFS($C8=2,H8/20,$C8=3,H8/18,$C8=4,H8/16),2)</f>
        <v>4.8499999999999996</v>
      </c>
      <c r="L8" s="2" cm="1">
        <f t="array" ref="L8">ROUNDUP(_xlfn.IFS($C8=2,I8/20,$C8=3,I8/18,$C8=4,I8/16),2)</f>
        <v>3.7</v>
      </c>
      <c r="M8" s="2" cm="1">
        <f t="array" ref="M8">ROUNDUP(_xlfn.IFS($C8=2,J8/20,$C8=3,J8/18,$C8=4,J8/16),2)</f>
        <v>3.55</v>
      </c>
      <c r="N8" s="1">
        <f>SUM(K8:M8)</f>
        <v>12.100000000000001</v>
      </c>
      <c r="O8" s="3" t="str">
        <f>"{ id: '"&amp;A8&amp;"', name: '"&amp;B8&amp;"', tier: '"&amp;C8&amp;"', price: '"&amp;E8&amp;"', rankReq: '"&amp;F8&amp;"', sponsorBrand: '"&amp;G8&amp;"', speed: "&amp;K8&amp;",spin: "&amp;L8&amp;", control: "&amp;M8&amp;"},"</f>
        <v>{ id: 'b13', name: '729 蓝芳碳', tier: '2', price: '900', rankReq: '500', sponsorBrand: '729 (友谊)', speed: 4.85,spin: 3.7, control: 3.55},</v>
      </c>
    </row>
    <row r="9" spans="1:15" x14ac:dyDescent="0.35">
      <c r="A9" s="1" t="s">
        <v>25</v>
      </c>
      <c r="B9" s="2" t="s">
        <v>41</v>
      </c>
      <c r="C9" s="1">
        <v>2</v>
      </c>
      <c r="D9" s="1">
        <v>27.5</v>
      </c>
      <c r="E9" s="1">
        <f>D9*30</f>
        <v>825</v>
      </c>
      <c r="F9" s="1">
        <v>500</v>
      </c>
      <c r="G9" s="1" t="s">
        <v>39</v>
      </c>
      <c r="H9" s="1">
        <v>85</v>
      </c>
      <c r="I9" s="1">
        <v>86</v>
      </c>
      <c r="J9" s="1">
        <v>54</v>
      </c>
      <c r="K9" s="2" cm="1">
        <f t="array" ref="K9">ROUNDUP(_xlfn.IFS($C9=2,H9/20,$C9=3,H9/18,$C9=4,H9/16),2)</f>
        <v>4.25</v>
      </c>
      <c r="L9" s="2" cm="1">
        <f t="array" ref="L9">ROUNDUP(_xlfn.IFS($C9=2,I9/20,$C9=3,I9/18,$C9=4,I9/16),2)</f>
        <v>4.3</v>
      </c>
      <c r="M9" s="2" cm="1">
        <f t="array" ref="M9">ROUNDUP(_xlfn.IFS($C9=2,J9/20,$C9=3,J9/18,$C9=4,J9/16),2)</f>
        <v>2.7</v>
      </c>
      <c r="N9" s="1">
        <f>SUM(K9:M9)</f>
        <v>11.25</v>
      </c>
      <c r="O9" s="3" t="str">
        <f>"{ id: '"&amp;A9&amp;"', name: '"&amp;B9&amp;"', tier: '"&amp;C9&amp;"', price: '"&amp;E9&amp;"', rankReq: '"&amp;F9&amp;"', sponsorBrand: '"&amp;G9&amp;"', speed: "&amp;K9&amp;",spin: "&amp;L9&amp;", control: "&amp;M9&amp;"},"</f>
        <v>{ id: 'b14', name: '729 王朝桧木', tier: '2', price: '825', rankReq: '500', sponsorBrand: '729 (友谊)', speed: 4.25,spin: 4.3, control: 2.7},</v>
      </c>
    </row>
    <row r="10" spans="1:15" x14ac:dyDescent="0.35">
      <c r="A10" s="1" t="s">
        <v>28</v>
      </c>
      <c r="B10" s="2" t="s">
        <v>106</v>
      </c>
      <c r="C10" s="1">
        <v>2</v>
      </c>
      <c r="D10" s="1">
        <v>39</v>
      </c>
      <c r="E10" s="1">
        <f>D10*30</f>
        <v>1170</v>
      </c>
      <c r="F10" s="1">
        <v>500</v>
      </c>
      <c r="G10" s="1" t="s">
        <v>107</v>
      </c>
      <c r="H10" s="1">
        <v>92</v>
      </c>
      <c r="I10" s="1">
        <v>68</v>
      </c>
      <c r="J10" s="1">
        <v>69</v>
      </c>
      <c r="K10" s="2" cm="1">
        <f t="array" ref="K10">ROUNDUP(_xlfn.IFS($C10=2,H10/20,$C10=3,H10/18,$C10=4,H10/16),2)</f>
        <v>4.5999999999999996</v>
      </c>
      <c r="L10" s="2" cm="1">
        <f t="array" ref="L10">ROUNDUP(_xlfn.IFS($C10=2,I10/20,$C10=3,I10/18,$C10=4,I10/16),2)</f>
        <v>3.4</v>
      </c>
      <c r="M10" s="2" cm="1">
        <f t="array" ref="M10">ROUNDUP(_xlfn.IFS($C10=2,J10/20,$C10=3,J10/18,$C10=4,J10/16),2)</f>
        <v>3.45</v>
      </c>
      <c r="N10" s="1">
        <f>SUM(K10:M10)</f>
        <v>11.45</v>
      </c>
      <c r="O10" s="3" t="str">
        <f>"{ id: '"&amp;A10&amp;"', name: '"&amp;B10&amp;"', tier: '"&amp;C10&amp;"', price: '"&amp;E10&amp;"', rankReq: '"&amp;F10&amp;"', sponsorBrand: '"&amp;G10&amp;"', speed: "&amp;K10&amp;",spin: "&amp;L10&amp;", control: "&amp;M10&amp;"},"</f>
        <v>{ id: 'b17', name: '岸度 动能探索者 OFF+', tier: '2', price: '1170', rankReq: '500', sponsorBrand: '岸度 (Andro)', speed: 4.6,spin: 3.4, control: 3.45},</v>
      </c>
    </row>
    <row r="11" spans="1:15" x14ac:dyDescent="0.35">
      <c r="A11" s="1" t="s">
        <v>14</v>
      </c>
      <c r="B11" s="2" t="s">
        <v>50</v>
      </c>
      <c r="C11" s="1">
        <v>2</v>
      </c>
      <c r="D11" s="1">
        <v>17</v>
      </c>
      <c r="E11" s="1">
        <f>D11*30</f>
        <v>510</v>
      </c>
      <c r="F11" s="1">
        <v>500</v>
      </c>
      <c r="G11" s="1" t="s">
        <v>38</v>
      </c>
      <c r="H11" s="1">
        <v>65</v>
      </c>
      <c r="I11" s="1">
        <v>85</v>
      </c>
      <c r="J11" s="1">
        <v>55</v>
      </c>
      <c r="K11" s="2" cm="1">
        <f t="array" ref="K11">ROUNDUP(_xlfn.IFS($C11=2,H11/20,$C11=3,H11/18,$C11=4,H11/16),2)</f>
        <v>3.25</v>
      </c>
      <c r="L11" s="2" cm="1">
        <f t="array" ref="L11">ROUNDUP(_xlfn.IFS($C11=2,I11/20,$C11=3,I11/18,$C11=4,I11/16),2)</f>
        <v>4.25</v>
      </c>
      <c r="M11" s="2" cm="1">
        <f t="array" ref="M11">ROUNDUP(_xlfn.IFS($C11=2,J11/20,$C11=3,J11/18,$C11=4,J11/16),2)</f>
        <v>2.75</v>
      </c>
      <c r="N11" s="1">
        <f>SUM(K11:M11)</f>
        <v>10.25</v>
      </c>
      <c r="O11" s="3" t="str">
        <f>"{ id: '"&amp;A11&amp;"', name: '"&amp;B11&amp;"', tier: '"&amp;C11&amp;"', price: '"&amp;E11&amp;"', rankReq: '"&amp;F11&amp;"', sponsorBrand: '"&amp;G11&amp;"', speed: "&amp;K11&amp;",spin: "&amp;L11&amp;", control: "&amp;M11&amp;"},"</f>
        <v>{ id: 'b3', name: '雷神 K1', tier: '2', price: '510', rankReq: '500', sponsorBrand: '雷神 (LOKI)', speed: 3.25,spin: 4.25, control: 2.75},</v>
      </c>
    </row>
    <row r="12" spans="1:15" x14ac:dyDescent="0.35">
      <c r="A12" s="1" t="s">
        <v>15</v>
      </c>
      <c r="B12" s="2" t="s">
        <v>51</v>
      </c>
      <c r="C12" s="1">
        <v>2</v>
      </c>
      <c r="D12" s="1">
        <v>30</v>
      </c>
      <c r="E12" s="1">
        <f>D12*30</f>
        <v>900</v>
      </c>
      <c r="F12" s="1">
        <v>500</v>
      </c>
      <c r="G12" s="1" t="s">
        <v>38</v>
      </c>
      <c r="H12" s="1">
        <v>87</v>
      </c>
      <c r="I12" s="1">
        <v>76</v>
      </c>
      <c r="J12" s="1">
        <v>70</v>
      </c>
      <c r="K12" s="2" cm="1">
        <f t="array" ref="K12">ROUNDUP(_xlfn.IFS($C12=2,H12/20,$C12=3,H12/18,$C12=4,H12/16),2)</f>
        <v>4.3499999999999996</v>
      </c>
      <c r="L12" s="2" cm="1">
        <f t="array" ref="L12">ROUNDUP(_xlfn.IFS($C12=2,I12/20,$C12=3,I12/18,$C12=4,I12/16),2)</f>
        <v>3.8</v>
      </c>
      <c r="M12" s="2" cm="1">
        <f t="array" ref="M12">ROUNDUP(_xlfn.IFS($C12=2,J12/20,$C12=3,J12/18,$C12=4,J12/16),2)</f>
        <v>3.5</v>
      </c>
      <c r="N12" s="1">
        <f>SUM(K12:M12)</f>
        <v>11.649999999999999</v>
      </c>
      <c r="O12" s="3" t="str">
        <f>"{ id: '"&amp;A12&amp;"', name: '"&amp;B12&amp;"', tier: '"&amp;C12&amp;"', price: '"&amp;E12&amp;"', rankReq: '"&amp;F12&amp;"', sponsorBrand: '"&amp;G12&amp;"', speed: "&amp;K12&amp;",spin: "&amp;L12&amp;", control: "&amp;M12&amp;"},"</f>
        <v>{ id: 'b4', name: '雷神 K5内置', tier: '2', price: '900', rankReq: '500', sponsorBrand: '雷神 (LOKI)', speed: 4.35,spin: 3.8, control: 3.5},</v>
      </c>
    </row>
    <row r="13" spans="1:15" x14ac:dyDescent="0.35">
      <c r="A13" s="1" t="s">
        <v>95</v>
      </c>
      <c r="B13" s="2" t="s">
        <v>104</v>
      </c>
      <c r="C13" s="1">
        <v>2</v>
      </c>
      <c r="D13" s="1">
        <v>38</v>
      </c>
      <c r="E13" s="1">
        <f>D13*30</f>
        <v>1140</v>
      </c>
      <c r="F13" s="1">
        <v>500</v>
      </c>
      <c r="G13" s="1" t="s">
        <v>99</v>
      </c>
      <c r="H13" s="1">
        <v>85</v>
      </c>
      <c r="I13" s="1">
        <v>70</v>
      </c>
      <c r="J13" s="1">
        <v>70</v>
      </c>
      <c r="K13" s="2" cm="1">
        <f t="array" ref="K13">ROUNDUP(_xlfn.IFS($C13=2,H13/20,$C13=3,H13/18,$C13=4,H13/16),2)</f>
        <v>4.25</v>
      </c>
      <c r="L13" s="2" cm="1">
        <f t="array" ref="L13">ROUNDUP(_xlfn.IFS($C13=2,I13/20,$C13=3,I13/18,$C13=4,I13/16),2)</f>
        <v>3.5</v>
      </c>
      <c r="M13" s="2" cm="1">
        <f t="array" ref="M13">ROUNDUP(_xlfn.IFS($C13=2,J13/20,$C13=3,J13/18,$C13=4,J13/16),2)</f>
        <v>3.5</v>
      </c>
      <c r="N13" s="1">
        <f>SUM(K13:M13)</f>
        <v>11.25</v>
      </c>
      <c r="O13" s="3" t="str">
        <f>"{ id: '"&amp;A13&amp;"', name: '"&amp;B13&amp;"', tier: '"&amp;C13&amp;"', price: '"&amp;E13&amp;"', rankReq: '"&amp;F13&amp;"', sponsorBrand: '"&amp;G13&amp;"', speed: "&amp;K13&amp;",spin: "&amp;L13&amp;", control: "&amp;M13&amp;"},"</f>
        <v>{ id: 'b44', name: '红双喜 劲极7', tier: '2', price: '1140', rankReq: '500', sponsorBrand: '红双喜 (DHS)', speed: 4.25,spin: 3.5, control: 3.5},</v>
      </c>
    </row>
    <row r="14" spans="1:15" x14ac:dyDescent="0.35">
      <c r="A14" s="1" t="s">
        <v>16</v>
      </c>
      <c r="B14" s="2" t="s">
        <v>49</v>
      </c>
      <c r="C14" s="1">
        <v>2</v>
      </c>
      <c r="D14" s="1">
        <v>30</v>
      </c>
      <c r="E14" s="1">
        <f>D14*30</f>
        <v>900</v>
      </c>
      <c r="F14" s="1">
        <v>500</v>
      </c>
      <c r="G14" s="1" t="s">
        <v>38</v>
      </c>
      <c r="H14" s="1">
        <v>85</v>
      </c>
      <c r="I14" s="1">
        <v>72</v>
      </c>
      <c r="J14" s="1">
        <v>80</v>
      </c>
      <c r="K14" s="2" cm="1">
        <f t="array" ref="K14">ROUNDUP(_xlfn.IFS($C14=2,H14/20,$C14=3,H14/18,$C14=4,H14/16),2)</f>
        <v>4.25</v>
      </c>
      <c r="L14" s="2" cm="1">
        <f t="array" ref="L14">ROUNDUP(_xlfn.IFS($C14=2,I14/20,$C14=3,I14/18,$C14=4,I14/16),2)</f>
        <v>3.6</v>
      </c>
      <c r="M14" s="2" cm="1">
        <f t="array" ref="M14">ROUNDUP(_xlfn.IFS($C14=2,J14/20,$C14=3,J14/18,$C14=4,J14/16),2)</f>
        <v>4</v>
      </c>
      <c r="N14" s="1">
        <f>SUM(K14:M14)</f>
        <v>11.85</v>
      </c>
      <c r="O14" s="3" t="str">
        <f>"{ id: '"&amp;A14&amp;"', name: '"&amp;B14&amp;"', tier: '"&amp;C14&amp;"', price: '"&amp;E14&amp;"', rankReq: '"&amp;F14&amp;"', sponsorBrand: '"&amp;G14&amp;"', speed: "&amp;K14&amp;",spin: "&amp;L14&amp;", control: "&amp;M14&amp;"},"</f>
        <v>{ id: 'b5', name: '雷神 K5外置', tier: '2', price: '900', rankReq: '500', sponsorBrand: '雷神 (LOKI)', speed: 4.25,spin: 3.6, control: 4},</v>
      </c>
    </row>
    <row r="15" spans="1:15" x14ac:dyDescent="0.35">
      <c r="A15" s="1" t="s">
        <v>19</v>
      </c>
      <c r="B15" s="2" t="s">
        <v>46</v>
      </c>
      <c r="C15" s="1">
        <v>2</v>
      </c>
      <c r="D15" s="1">
        <v>40</v>
      </c>
      <c r="E15" s="1">
        <f>D15*30</f>
        <v>1200</v>
      </c>
      <c r="F15" s="1">
        <v>450</v>
      </c>
      <c r="G15" s="1" t="s">
        <v>38</v>
      </c>
      <c r="H15" s="1">
        <v>88</v>
      </c>
      <c r="I15" s="1">
        <v>71</v>
      </c>
      <c r="J15" s="1">
        <v>81</v>
      </c>
      <c r="K15" s="2" cm="1">
        <f t="array" ref="K15">ROUNDUP(_xlfn.IFS($C15=2,H15/20,$C15=3,H15/18,$C15=4,H15/16),2)</f>
        <v>4.4000000000000004</v>
      </c>
      <c r="L15" s="2" cm="1">
        <f t="array" ref="L15">ROUNDUP(_xlfn.IFS($C15=2,I15/20,$C15=3,I15/18,$C15=4,I15/16),2)</f>
        <v>3.55</v>
      </c>
      <c r="M15" s="2" cm="1">
        <f t="array" ref="M15">ROUNDUP(_xlfn.IFS($C15=2,J15/20,$C15=3,J15/18,$C15=4,J15/16),2)</f>
        <v>4.05</v>
      </c>
      <c r="N15" s="1">
        <f>SUM(K15:M15)</f>
        <v>12</v>
      </c>
      <c r="O15" s="3" t="str">
        <f>"{ id: '"&amp;A15&amp;"', name: '"&amp;B15&amp;"', tier: '"&amp;C15&amp;"', price: '"&amp;E15&amp;"', rankReq: '"&amp;F15&amp;"', sponsorBrand: '"&amp;G15&amp;"', speed: "&amp;K15&amp;",spin: "&amp;L15&amp;", control: "&amp;M15&amp;"},"</f>
        <v>{ id: 'b8', name: '雷神 锐龙7 Pro', tier: '2', price: '1200', rankReq: '450', sponsorBrand: '雷神 (LOKI)', speed: 4.4,spin: 3.55, control: 4.05},</v>
      </c>
    </row>
    <row r="16" spans="1:15" x14ac:dyDescent="0.35">
      <c r="A16" s="1" t="s">
        <v>20</v>
      </c>
      <c r="B16" s="2" t="s">
        <v>45</v>
      </c>
      <c r="C16" s="1">
        <v>2</v>
      </c>
      <c r="D16" s="1">
        <v>43</v>
      </c>
      <c r="E16" s="1">
        <f>D16*30</f>
        <v>1290</v>
      </c>
      <c r="F16" s="1">
        <v>450</v>
      </c>
      <c r="G16" s="1" t="s">
        <v>38</v>
      </c>
      <c r="H16" s="1">
        <v>88</v>
      </c>
      <c r="I16" s="1">
        <v>71</v>
      </c>
      <c r="J16" s="1">
        <v>80</v>
      </c>
      <c r="K16" s="2" cm="1">
        <f t="array" ref="K16">ROUNDUP(_xlfn.IFS($C16=2,H16/20,$C16=3,H16/18,$C16=4,H16/16),2)</f>
        <v>4.4000000000000004</v>
      </c>
      <c r="L16" s="2" cm="1">
        <f t="array" ref="L16">ROUNDUP(_xlfn.IFS($C16=2,I16/20,$C16=3,I16/18,$C16=4,I16/16),2)</f>
        <v>3.55</v>
      </c>
      <c r="M16" s="2" cm="1">
        <f t="array" ref="M16">ROUNDUP(_xlfn.IFS($C16=2,J16/20,$C16=3,J16/18,$C16=4,J16/16),2)</f>
        <v>4</v>
      </c>
      <c r="N16" s="1">
        <f>SUM(K16:M16)</f>
        <v>11.95</v>
      </c>
      <c r="O16" s="3" t="str">
        <f>"{ id: '"&amp;A16&amp;"', name: '"&amp;B16&amp;"', tier: '"&amp;C16&amp;"', price: '"&amp;E16&amp;"', rankReq: '"&amp;F16&amp;"', sponsorBrand: '"&amp;G16&amp;"', speed: "&amp;K16&amp;",spin: "&amp;L16&amp;", control: "&amp;M16&amp;"},"</f>
        <v>{ id: 'b9', name: '雷神 锐龙9 Pro', tier: '2', price: '1290', rankReq: '450', sponsorBrand: '雷神 (LOKI)', speed: 4.4,spin: 3.55, control: 4},</v>
      </c>
    </row>
    <row r="17" spans="1:15" x14ac:dyDescent="0.35">
      <c r="A17" s="1" t="s">
        <v>26</v>
      </c>
      <c r="B17" s="2" t="s">
        <v>52</v>
      </c>
      <c r="C17" s="1">
        <v>3</v>
      </c>
      <c r="D17" s="1">
        <v>73</v>
      </c>
      <c r="E17" s="1">
        <f>D17*30</f>
        <v>2190</v>
      </c>
      <c r="F17" s="1">
        <v>300</v>
      </c>
      <c r="G17" s="1" t="s">
        <v>39</v>
      </c>
      <c r="H17" s="1">
        <v>94</v>
      </c>
      <c r="I17" s="1">
        <v>72</v>
      </c>
      <c r="J17" s="1">
        <v>70</v>
      </c>
      <c r="K17" s="2" cm="1">
        <f t="array" ref="K17">ROUNDUP(_xlfn.IFS($C17=2,H17/20,$C17=3,H17/18,$C17=4,H17/16),2)</f>
        <v>5.2299999999999995</v>
      </c>
      <c r="L17" s="2" cm="1">
        <f t="array" ref="L17">ROUNDUP(_xlfn.IFS($C17=2,I17/20,$C17=3,I17/18,$C17=4,I17/16),2)</f>
        <v>4</v>
      </c>
      <c r="M17" s="2" cm="1">
        <f t="array" ref="M17">ROUNDUP(_xlfn.IFS($C17=2,J17/20,$C17=3,J17/18,$C17=4,J17/16),2)</f>
        <v>3.8899999999999997</v>
      </c>
      <c r="N17" s="1">
        <f>SUM(K17:M17)</f>
        <v>13.120000000000001</v>
      </c>
      <c r="O17" s="3" t="str">
        <f>"{ id: '"&amp;A17&amp;"', name: '"&amp;B17&amp;"', tier: '"&amp;C17&amp;"', price: '"&amp;E17&amp;"', rankReq: '"&amp;F17&amp;"', sponsorBrand: '"&amp;G17&amp;"', speed: "&amp;K17&amp;",spin: "&amp;L17&amp;", control: "&amp;M17&amp;"},"</f>
        <v>{ id: 'b15', name: '729 黑檀7', tier: '3', price: '2190', rankReq: '300', sponsorBrand: '729 (友谊)', speed: 5.23,spin: 4, control: 3.89},</v>
      </c>
    </row>
    <row r="18" spans="1:15" x14ac:dyDescent="0.35">
      <c r="A18" s="1" t="s">
        <v>60</v>
      </c>
      <c r="B18" s="2" t="s">
        <v>80</v>
      </c>
      <c r="C18" s="1">
        <v>3</v>
      </c>
      <c r="D18" s="1">
        <v>211</v>
      </c>
      <c r="E18" s="1">
        <f>D18*30</f>
        <v>6330</v>
      </c>
      <c r="F18" s="1">
        <v>80</v>
      </c>
      <c r="G18" s="1" t="s">
        <v>54</v>
      </c>
      <c r="H18" s="1">
        <v>87</v>
      </c>
      <c r="I18" s="1">
        <v>75</v>
      </c>
      <c r="J18" s="1">
        <v>70</v>
      </c>
      <c r="K18" s="2" cm="1">
        <f t="array" ref="K18">ROUNDUP(_xlfn.IFS($C18=2,H18/20,$C18=3,H18/18,$C18=4,H18/16),2)</f>
        <v>4.84</v>
      </c>
      <c r="L18" s="2" cm="1">
        <f t="array" ref="L18">ROUNDUP(_xlfn.IFS($C18=2,I18/20,$C18=3,I18/18,$C18=4,I18/16),2)</f>
        <v>4.17</v>
      </c>
      <c r="M18" s="2" cm="1">
        <f t="array" ref="M18">ROUNDUP(_xlfn.IFS($C18=2,J18/20,$C18=3,J18/18,$C18=4,J18/16),2)</f>
        <v>3.8899999999999997</v>
      </c>
      <c r="N18" s="1">
        <f>SUM(K18:M18)</f>
        <v>12.899999999999999</v>
      </c>
      <c r="O18" s="3" t="str">
        <f>"{ id: '"&amp;A18&amp;"', name: '"&amp;B18&amp;"', tier: '"&amp;C18&amp;"', price: '"&amp;E18&amp;"', rankReq: '"&amp;F18&amp;"', sponsorBrand: '"&amp;G18&amp;"', speed: "&amp;K18&amp;",spin: "&amp;L18&amp;", control: "&amp;M18&amp;"},"</f>
        <v>{ id: 'b29', name: '蝴蝶 内置ZLC', tier: '3', price: '6330', rankReq: '80', sponsorBrand: '蝴蝶 (Butterfly)', speed: 4.84,spin: 4.17, control: 3.89},</v>
      </c>
    </row>
    <row r="19" spans="1:15" x14ac:dyDescent="0.35">
      <c r="A19" s="1" t="s">
        <v>70</v>
      </c>
      <c r="B19" s="2" t="s">
        <v>81</v>
      </c>
      <c r="C19" s="1">
        <v>3</v>
      </c>
      <c r="D19" s="1">
        <v>211</v>
      </c>
      <c r="E19" s="1">
        <f>D19*30</f>
        <v>6330</v>
      </c>
      <c r="F19" s="1">
        <v>80</v>
      </c>
      <c r="G19" s="1" t="s">
        <v>54</v>
      </c>
      <c r="H19" s="1">
        <v>90</v>
      </c>
      <c r="I19" s="1">
        <v>69</v>
      </c>
      <c r="J19" s="1">
        <v>87</v>
      </c>
      <c r="K19" s="2" cm="1">
        <f t="array" ref="K19">ROUNDUP(_xlfn.IFS($C19=2,H19/20,$C19=3,H19/18,$C19=4,H19/16),2)</f>
        <v>5</v>
      </c>
      <c r="L19" s="2" cm="1">
        <f t="array" ref="L19">ROUNDUP(_xlfn.IFS($C19=2,I19/20,$C19=3,I19/18,$C19=4,I19/16),2)</f>
        <v>3.84</v>
      </c>
      <c r="M19" s="2" cm="1">
        <f t="array" ref="M19">ROUNDUP(_xlfn.IFS($C19=2,J19/20,$C19=3,J19/18,$C19=4,J19/16),2)</f>
        <v>4.84</v>
      </c>
      <c r="N19" s="1">
        <f>SUM(K19:M19)</f>
        <v>13.68</v>
      </c>
      <c r="O19" s="3" t="str">
        <f>"{ id: '"&amp;A19&amp;"', name: '"&amp;B19&amp;"', tier: '"&amp;C19&amp;"', price: '"&amp;E19&amp;"', rankReq: '"&amp;F19&amp;"', sponsorBrand: '"&amp;G19&amp;"', speed: "&amp;K19&amp;",spin: "&amp;L19&amp;", control: "&amp;M19&amp;"},"</f>
        <v>{ id: 'b30', name: '蝴蝶 外置ZLC', tier: '3', price: '6330', rankReq: '80', sponsorBrand: '蝴蝶 (Butterfly)', speed: 5,spin: 3.84, control: 4.84},</v>
      </c>
    </row>
    <row r="20" spans="1:15" x14ac:dyDescent="0.35">
      <c r="A20" s="1" t="s">
        <v>71</v>
      </c>
      <c r="B20" s="2" t="s">
        <v>82</v>
      </c>
      <c r="C20" s="1">
        <v>3</v>
      </c>
      <c r="D20" s="1">
        <v>159</v>
      </c>
      <c r="E20" s="1">
        <f>D20*30</f>
        <v>4770</v>
      </c>
      <c r="F20" s="1">
        <v>80</v>
      </c>
      <c r="G20" s="1" t="s">
        <v>54</v>
      </c>
      <c r="H20" s="1">
        <v>88</v>
      </c>
      <c r="I20" s="1">
        <v>75</v>
      </c>
      <c r="J20" s="1">
        <v>73</v>
      </c>
      <c r="K20" s="2" cm="1">
        <f t="array" ref="K20">ROUNDUP(_xlfn.IFS($C20=2,H20/20,$C20=3,H20/18,$C20=4,H20/16),2)</f>
        <v>4.8899999999999997</v>
      </c>
      <c r="L20" s="2" cm="1">
        <f t="array" ref="L20">ROUNDUP(_xlfn.IFS($C20=2,I20/20,$C20=3,I20/18,$C20=4,I20/16),2)</f>
        <v>4.17</v>
      </c>
      <c r="M20" s="2" cm="1">
        <f t="array" ref="M20">ROUNDUP(_xlfn.IFS($C20=2,J20/20,$C20=3,J20/18,$C20=4,J20/16),2)</f>
        <v>4.0599999999999996</v>
      </c>
      <c r="N20" s="1">
        <f>SUM(K20:M20)</f>
        <v>13.119999999999997</v>
      </c>
      <c r="O20" s="3" t="str">
        <f>"{ id: '"&amp;A20&amp;"', name: '"&amp;B20&amp;"', tier: '"&amp;C20&amp;"', price: '"&amp;E20&amp;"', rankReq: '"&amp;F20&amp;"', sponsorBrand: '"&amp;G20&amp;"', speed: "&amp;K20&amp;",spin: "&amp;L20&amp;", control: "&amp;M20&amp;"},"</f>
        <v>{ id: 'b31', name: '蝴蝶 樊振东ALC', tier: '3', price: '4770', rankReq: '80', sponsorBrand: '蝴蝶 (Butterfly)', speed: 4.89,spin: 4.17, control: 4.06},</v>
      </c>
    </row>
    <row r="21" spans="1:15" x14ac:dyDescent="0.35">
      <c r="A21" s="1" t="s">
        <v>72</v>
      </c>
      <c r="B21" s="2" t="s">
        <v>83</v>
      </c>
      <c r="C21" s="1">
        <v>3</v>
      </c>
      <c r="D21" s="1">
        <v>159</v>
      </c>
      <c r="E21" s="1">
        <f>D21*30</f>
        <v>4770</v>
      </c>
      <c r="F21" s="1">
        <v>80</v>
      </c>
      <c r="G21" s="1" t="s">
        <v>54</v>
      </c>
      <c r="H21" s="1">
        <v>94</v>
      </c>
      <c r="I21" s="1">
        <v>71</v>
      </c>
      <c r="J21" s="1">
        <v>80</v>
      </c>
      <c r="K21" s="2" cm="1">
        <f t="array" ref="K21">ROUNDUP(_xlfn.IFS($C21=2,H21/20,$C21=3,H21/18,$C21=4,H21/16),2)</f>
        <v>5.2299999999999995</v>
      </c>
      <c r="L21" s="2" cm="1">
        <f t="array" ref="L21">ROUNDUP(_xlfn.IFS($C21=2,I21/20,$C21=3,I21/18,$C21=4,I21/16),2)</f>
        <v>3.9499999999999997</v>
      </c>
      <c r="M21" s="2" cm="1">
        <f t="array" ref="M21">ROUNDUP(_xlfn.IFS($C21=2,J21/20,$C21=3,J21/18,$C21=4,J21/16),2)</f>
        <v>4.45</v>
      </c>
      <c r="N21" s="1">
        <f>SUM(K21:M21)</f>
        <v>13.629999999999999</v>
      </c>
      <c r="O21" s="3" t="str">
        <f>"{ id: '"&amp;A21&amp;"', name: '"&amp;B21&amp;"', tier: '"&amp;C21&amp;"', price: '"&amp;E21&amp;"', rankReq: '"&amp;F21&amp;"', sponsorBrand: '"&amp;G21&amp;"', speed: "&amp;K21&amp;",spin: "&amp;L21&amp;", control: "&amp;M21&amp;"},"</f>
        <v>{ id: 'b32', name: '蝴蝶 弗雷塔斯ALC', tier: '3', price: '4770', rankReq: '80', sponsorBrand: '蝴蝶 (Butterfly)', speed: 5.23,spin: 3.95, control: 4.45},</v>
      </c>
    </row>
    <row r="22" spans="1:15" x14ac:dyDescent="0.35">
      <c r="A22" s="1" t="s">
        <v>73</v>
      </c>
      <c r="B22" s="2" t="s">
        <v>85</v>
      </c>
      <c r="C22" s="1">
        <v>3</v>
      </c>
      <c r="D22" s="1">
        <v>159</v>
      </c>
      <c r="E22" s="1">
        <f>D22*30</f>
        <v>4770</v>
      </c>
      <c r="F22" s="1">
        <v>80</v>
      </c>
      <c r="G22" s="1" t="s">
        <v>54</v>
      </c>
      <c r="H22" s="1">
        <v>90</v>
      </c>
      <c r="I22" s="1">
        <v>80</v>
      </c>
      <c r="J22" s="1">
        <v>77</v>
      </c>
      <c r="K22" s="2" cm="1">
        <f t="array" ref="K22">ROUNDUP(_xlfn.IFS($C22=2,H22/20,$C22=3,H22/18,$C22=4,H22/16),2)</f>
        <v>5</v>
      </c>
      <c r="L22" s="2" cm="1">
        <f t="array" ref="L22">ROUNDUP(_xlfn.IFS($C22=2,I22/20,$C22=3,I22/18,$C22=4,I22/16),2)</f>
        <v>4.45</v>
      </c>
      <c r="M22" s="2" cm="1">
        <f t="array" ref="M22">ROUNDUP(_xlfn.IFS($C22=2,J22/20,$C22=3,J22/18,$C22=4,J22/16),2)</f>
        <v>4.2799999999999994</v>
      </c>
      <c r="N22" s="1">
        <f>SUM(K22:M22)</f>
        <v>13.729999999999999</v>
      </c>
      <c r="O22" s="3" t="str">
        <f>"{ id: '"&amp;A22&amp;"', name: '"&amp;B22&amp;"', tier: '"&amp;C22&amp;"', price: '"&amp;E22&amp;"', rankReq: '"&amp;F22&amp;"', sponsorBrand: '"&amp;G22&amp;"', speed: "&amp;K22&amp;",spin: "&amp;L22&amp;", control: "&amp;M22&amp;"},"</f>
        <v>{ id: 'b33', name: '蝴蝶 张本ALC', tier: '3', price: '4770', rankReq: '80', sponsorBrand: '蝴蝶 (Butterfly)', speed: 5,spin: 4.45, control: 4.28},</v>
      </c>
    </row>
    <row r="23" spans="1:15" x14ac:dyDescent="0.35">
      <c r="A23" s="1" t="s">
        <v>74</v>
      </c>
      <c r="B23" s="2" t="s">
        <v>86</v>
      </c>
      <c r="C23" s="1">
        <v>3</v>
      </c>
      <c r="D23" s="1">
        <v>159</v>
      </c>
      <c r="E23" s="1">
        <f>D23*30</f>
        <v>4770</v>
      </c>
      <c r="F23" s="1">
        <v>80</v>
      </c>
      <c r="G23" s="1" t="s">
        <v>54</v>
      </c>
      <c r="H23" s="1">
        <v>86</v>
      </c>
      <c r="I23" s="1">
        <v>80</v>
      </c>
      <c r="J23" s="1">
        <v>70</v>
      </c>
      <c r="K23" s="2" cm="1">
        <f t="array" ref="K23">ROUNDUP(_xlfn.IFS($C23=2,H23/20,$C23=3,H23/18,$C23=4,H23/16),2)</f>
        <v>4.7799999999999994</v>
      </c>
      <c r="L23" s="2" cm="1">
        <f t="array" ref="L23">ROUNDUP(_xlfn.IFS($C23=2,I23/20,$C23=3,I23/18,$C23=4,I23/16),2)</f>
        <v>4.45</v>
      </c>
      <c r="M23" s="2" cm="1">
        <f t="array" ref="M23">ROUNDUP(_xlfn.IFS($C23=2,J23/20,$C23=3,J23/18,$C23=4,J23/16),2)</f>
        <v>3.8899999999999997</v>
      </c>
      <c r="N23" s="1">
        <f>SUM(K23:M23)</f>
        <v>13.120000000000001</v>
      </c>
      <c r="O23" s="3" t="str">
        <f t="shared" ref="O23:O31" si="0">"{ id: '"&amp;A23&amp;"', name: '"&amp;B23&amp;"', tier: '"&amp;C23&amp;"', price: '"&amp;E23&amp;"', rankReq: '"&amp;F23&amp;"', sponsorBrand: '"&amp;G23&amp;"', speed: "&amp;K23&amp;",spin: "&amp;L23&amp;", control: "&amp;M23&amp;"},"</f>
        <v>{ id: 'b34', name: '蝴蝶 奥恰ALC', tier: '3', price: '4770', rankReq: '80', sponsorBrand: '蝴蝶 (Butterfly)', speed: 4.78,spin: 4.45, control: 3.89},</v>
      </c>
    </row>
    <row r="24" spans="1:15" x14ac:dyDescent="0.35">
      <c r="A24" s="1" t="s">
        <v>75</v>
      </c>
      <c r="B24" s="2" t="s">
        <v>87</v>
      </c>
      <c r="C24" s="1">
        <v>3</v>
      </c>
      <c r="D24" s="1">
        <v>159</v>
      </c>
      <c r="E24" s="1">
        <f>D24*30</f>
        <v>4770</v>
      </c>
      <c r="F24" s="1">
        <v>80</v>
      </c>
      <c r="G24" s="1" t="s">
        <v>54</v>
      </c>
      <c r="H24" s="1">
        <v>94</v>
      </c>
      <c r="I24" s="1">
        <v>75</v>
      </c>
      <c r="J24" s="1">
        <v>81</v>
      </c>
      <c r="K24" s="2" cm="1">
        <f t="array" ref="K24">ROUNDUP(_xlfn.IFS($C24=2,H24/20,$C24=3,H24/18,$C24=4,H24/16),2)</f>
        <v>5.2299999999999995</v>
      </c>
      <c r="L24" s="2" cm="1">
        <f t="array" ref="L24">ROUNDUP(_xlfn.IFS($C24=2,I24/20,$C24=3,I24/18,$C24=4,I24/16),2)</f>
        <v>4.17</v>
      </c>
      <c r="M24" s="2" cm="1">
        <f t="array" ref="M24">ROUNDUP(_xlfn.IFS($C24=2,J24/20,$C24=3,J24/18,$C24=4,J24/16),2)</f>
        <v>4.5</v>
      </c>
      <c r="N24" s="1">
        <f>SUM(K24:M24)</f>
        <v>13.899999999999999</v>
      </c>
      <c r="O24" s="3" t="str">
        <f t="shared" si="0"/>
        <v>{ id: 'b35', name: '蝴蝶 波尔ALC', tier: '3', price: '4770', rankReq: '80', sponsorBrand: '蝴蝶 (Butterfly)', speed: 5.23,spin: 4.17, control: 4.5},</v>
      </c>
    </row>
    <row r="25" spans="1:15" x14ac:dyDescent="0.35">
      <c r="A25" s="1" t="s">
        <v>76</v>
      </c>
      <c r="B25" s="2" t="s">
        <v>88</v>
      </c>
      <c r="C25" s="1">
        <v>3</v>
      </c>
      <c r="D25" s="1">
        <v>159</v>
      </c>
      <c r="E25" s="1">
        <f>D25*30</f>
        <v>4770</v>
      </c>
      <c r="F25" s="1">
        <v>80</v>
      </c>
      <c r="G25" s="1" t="s">
        <v>54</v>
      </c>
      <c r="H25" s="1">
        <v>87</v>
      </c>
      <c r="I25" s="1">
        <v>62</v>
      </c>
      <c r="J25" s="1">
        <v>78</v>
      </c>
      <c r="K25" s="2" cm="1">
        <f t="array" ref="K25">ROUNDUP(_xlfn.IFS($C25=2,H25/20,$C25=3,H25/18,$C25=4,H25/16),2)</f>
        <v>4.84</v>
      </c>
      <c r="L25" s="2" cm="1">
        <f t="array" ref="L25">ROUNDUP(_xlfn.IFS($C25=2,I25/20,$C25=3,I25/18,$C25=4,I25/16),2)</f>
        <v>3.4499999999999997</v>
      </c>
      <c r="M25" s="2" cm="1">
        <f t="array" ref="M25">ROUNDUP(_xlfn.IFS($C25=2,J25/20,$C25=3,J25/18,$C25=4,J25/16),2)</f>
        <v>4.34</v>
      </c>
      <c r="N25" s="1">
        <f>SUM(K25:M25)</f>
        <v>12.629999999999999</v>
      </c>
      <c r="O25" s="3" t="str">
        <f t="shared" si="0"/>
        <v>{ id: 'b36', name: '蝴蝶 维斯', tier: '3', price: '4770', rankReq: '80', sponsorBrand: '蝴蝶 (Butterfly)', speed: 4.84,spin: 3.45, control: 4.34},</v>
      </c>
    </row>
    <row r="26" spans="1:15" x14ac:dyDescent="0.35">
      <c r="A26" s="1" t="s">
        <v>77</v>
      </c>
      <c r="B26" s="2" t="s">
        <v>89</v>
      </c>
      <c r="C26" s="1">
        <v>3</v>
      </c>
      <c r="D26" s="1">
        <v>159</v>
      </c>
      <c r="E26" s="1">
        <f>D26*30</f>
        <v>4770</v>
      </c>
      <c r="F26" s="1">
        <v>80</v>
      </c>
      <c r="G26" s="1" t="s">
        <v>54</v>
      </c>
      <c r="H26" s="1">
        <v>94</v>
      </c>
      <c r="I26" s="1">
        <v>64</v>
      </c>
      <c r="J26" s="1">
        <v>80</v>
      </c>
      <c r="K26" s="2" cm="1">
        <f t="array" ref="K26">ROUNDUP(_xlfn.IFS($C26=2,H26/20,$C26=3,H26/18,$C26=4,H26/16),2)</f>
        <v>5.2299999999999995</v>
      </c>
      <c r="L26" s="2" cm="1">
        <f t="array" ref="L26">ROUNDUP(_xlfn.IFS($C26=2,I26/20,$C26=3,I26/18,$C26=4,I26/16),2)</f>
        <v>3.5599999999999996</v>
      </c>
      <c r="M26" s="2" cm="1">
        <f t="array" ref="M26">ROUNDUP(_xlfn.IFS($C26=2,J26/20,$C26=3,J26/18,$C26=4,J26/16),2)</f>
        <v>4.45</v>
      </c>
      <c r="N26" s="1">
        <f>SUM(K26:M26)</f>
        <v>13.239999999999998</v>
      </c>
      <c r="O26" s="3" t="str">
        <f t="shared" si="0"/>
        <v>{ id: 'b37', name: '蝴蝶 张继科ALC', tier: '3', price: '4770', rankReq: '80', sponsorBrand: '蝴蝶 (Butterfly)', speed: 5.23,spin: 3.56, control: 4.45},</v>
      </c>
    </row>
    <row r="27" spans="1:15" x14ac:dyDescent="0.35">
      <c r="A27" s="1" t="s">
        <v>78</v>
      </c>
      <c r="B27" s="2" t="s">
        <v>90</v>
      </c>
      <c r="C27" s="1">
        <v>3</v>
      </c>
      <c r="D27" s="1">
        <v>85</v>
      </c>
      <c r="E27" s="1">
        <f>D27*30</f>
        <v>2550</v>
      </c>
      <c r="F27" s="1">
        <v>500</v>
      </c>
      <c r="G27" s="1" t="s">
        <v>54</v>
      </c>
      <c r="H27" s="1">
        <v>85</v>
      </c>
      <c r="I27" s="1">
        <v>76</v>
      </c>
      <c r="J27" s="1">
        <v>60</v>
      </c>
      <c r="K27" s="2" cm="1">
        <f t="array" ref="K27">ROUNDUP(_xlfn.IFS($C27=2,H27/20,$C27=3,H27/18,$C27=4,H27/16),2)</f>
        <v>4.7299999999999995</v>
      </c>
      <c r="L27" s="2" cm="1">
        <f t="array" ref="L27">ROUNDUP(_xlfn.IFS($C27=2,I27/20,$C27=3,I27/18,$C27=4,I27/16),2)</f>
        <v>4.2299999999999995</v>
      </c>
      <c r="M27" s="2" cm="1">
        <f t="array" ref="M27">ROUNDUP(_xlfn.IFS($C27=2,J27/20,$C27=3,J27/18,$C27=4,J27/16),2)</f>
        <v>3.34</v>
      </c>
      <c r="N27" s="1">
        <f>SUM(K27:M27)</f>
        <v>12.299999999999999</v>
      </c>
      <c r="O27" s="3" t="str">
        <f t="shared" si="0"/>
        <v>{ id: 'b38', name: '蝴蝶 科贝尔纯木 (日版)', tier: '3', price: '2550', rankReq: '500', sponsorBrand: '蝴蝶 (Butterfly)', speed: 4.73,spin: 4.23, control: 3.34},</v>
      </c>
    </row>
    <row r="28" spans="1:15" x14ac:dyDescent="0.35">
      <c r="A28" s="1" t="s">
        <v>94</v>
      </c>
      <c r="B28" s="2" t="s">
        <v>103</v>
      </c>
      <c r="C28" s="1">
        <v>3</v>
      </c>
      <c r="D28" s="1">
        <v>72</v>
      </c>
      <c r="E28" s="1">
        <f>D28*30</f>
        <v>2160</v>
      </c>
      <c r="F28" s="1">
        <v>150</v>
      </c>
      <c r="G28" s="1" t="s">
        <v>99</v>
      </c>
      <c r="H28" s="1">
        <v>93</v>
      </c>
      <c r="I28" s="1">
        <v>70</v>
      </c>
      <c r="J28" s="1">
        <v>85</v>
      </c>
      <c r="K28" s="2" cm="1">
        <f t="array" ref="K28">ROUNDUP(_xlfn.IFS($C28=2,H28/20,$C28=3,H28/18,$C28=4,H28/16),2)</f>
        <v>5.17</v>
      </c>
      <c r="L28" s="2" cm="1">
        <f t="array" ref="L28">ROUNDUP(_xlfn.IFS($C28=2,I28/20,$C28=3,I28/18,$C28=4,I28/16),2)</f>
        <v>3.8899999999999997</v>
      </c>
      <c r="M28" s="2" cm="1">
        <f t="array" ref="M28">ROUNDUP(_xlfn.IFS($C28=2,J28/20,$C28=3,J28/18,$C28=4,J28/16),2)</f>
        <v>4.7299999999999995</v>
      </c>
      <c r="N28" s="1">
        <f>SUM(K28:M28)</f>
        <v>13.79</v>
      </c>
      <c r="O28" s="3" t="str">
        <f t="shared" si="0"/>
        <v>{ id: 'b43', name: '红双喜 博芳碳', tier: '3', price: '2160', rankReq: '150', sponsorBrand: '红双喜 (DHS)', speed: 5.17,spin: 3.89, control: 4.73},</v>
      </c>
    </row>
    <row r="29" spans="1:15" x14ac:dyDescent="0.35">
      <c r="A29" s="1" t="s">
        <v>17</v>
      </c>
      <c r="B29" s="2" t="s">
        <v>48</v>
      </c>
      <c r="C29" s="1">
        <v>3</v>
      </c>
      <c r="D29" s="1">
        <v>120</v>
      </c>
      <c r="E29" s="1">
        <f>D29*30</f>
        <v>3600</v>
      </c>
      <c r="F29" s="1">
        <v>150</v>
      </c>
      <c r="G29" s="1" t="s">
        <v>38</v>
      </c>
      <c r="H29" s="1">
        <v>89</v>
      </c>
      <c r="I29" s="1">
        <v>71</v>
      </c>
      <c r="J29" s="1">
        <v>80</v>
      </c>
      <c r="K29" s="2" cm="1">
        <f t="array" ref="K29">ROUNDUP(_xlfn.IFS($C29=2,H29/20,$C29=3,H29/18,$C29=4,H29/16),2)</f>
        <v>4.95</v>
      </c>
      <c r="L29" s="2" cm="1">
        <f t="array" ref="L29">ROUNDUP(_xlfn.IFS($C29=2,I29/20,$C29=3,I29/18,$C29=4,I29/16),2)</f>
        <v>3.9499999999999997</v>
      </c>
      <c r="M29" s="2" cm="1">
        <f t="array" ref="M29">ROUNDUP(_xlfn.IFS($C29=2,J29/20,$C29=3,J29/18,$C29=4,J29/16),2)</f>
        <v>4.45</v>
      </c>
      <c r="N29" s="1">
        <f>SUM(K29:M29)</f>
        <v>13.350000000000001</v>
      </c>
      <c r="O29" s="3" t="str">
        <f t="shared" si="0"/>
        <v>{ id: 'b6', name: '雷神 LJK ALC', tier: '3', price: '3600', rankReq: '150', sponsorBrand: '雷神 (LOKI)', speed: 4.95,spin: 3.95, control: 4.45},</v>
      </c>
    </row>
    <row r="30" spans="1:15" x14ac:dyDescent="0.35">
      <c r="A30" s="1" t="s">
        <v>27</v>
      </c>
      <c r="B30" s="2" t="s">
        <v>105</v>
      </c>
      <c r="C30" s="1">
        <v>4</v>
      </c>
      <c r="D30" s="1">
        <v>165</v>
      </c>
      <c r="E30" s="1">
        <f>D30*30</f>
        <v>4950</v>
      </c>
      <c r="F30" s="1">
        <v>80</v>
      </c>
      <c r="G30" s="1" t="s">
        <v>107</v>
      </c>
      <c r="H30" s="1">
        <v>82</v>
      </c>
      <c r="I30" s="1">
        <v>85</v>
      </c>
      <c r="J30" s="1">
        <v>65</v>
      </c>
      <c r="K30" s="2" cm="1">
        <f t="array" ref="K30">ROUNDUP(_xlfn.IFS($C30=2,H30/20,$C30=3,H30/18,$C30=4,H30/16),2)</f>
        <v>5.13</v>
      </c>
      <c r="L30" s="2" cm="1">
        <f t="array" ref="L30">ROUNDUP(_xlfn.IFS($C30=2,I30/20,$C30=3,I30/18,$C30=4,I30/16),2)</f>
        <v>5.3199999999999994</v>
      </c>
      <c r="M30" s="2" cm="1">
        <f t="array" ref="M30">ROUNDUP(_xlfn.IFS($C30=2,J30/20,$C30=3,J30/18,$C30=4,J30/16),2)</f>
        <v>4.0699999999999994</v>
      </c>
      <c r="N30" s="1">
        <f>SUM(K30:M30)</f>
        <v>14.52</v>
      </c>
      <c r="O30" s="3" t="str">
        <f t="shared" si="0"/>
        <v>{ id: 'b16', name: '岸度 TP_LIGNA  玄武岩内置', tier: '4', price: '4950', rankReq: '80', sponsorBrand: '岸度 (Andro)', speed: 5.13,spin: 5.32, control: 4.07},</v>
      </c>
    </row>
    <row r="31" spans="1:15" x14ac:dyDescent="0.35">
      <c r="A31" s="1" t="s">
        <v>29</v>
      </c>
      <c r="B31" s="2" t="s">
        <v>53</v>
      </c>
      <c r="C31" s="1">
        <v>4</v>
      </c>
      <c r="D31" s="1">
        <v>474</v>
      </c>
      <c r="E31" s="1">
        <f>D31*30</f>
        <v>14220</v>
      </c>
      <c r="F31" s="1">
        <v>80</v>
      </c>
      <c r="G31" s="1" t="s">
        <v>54</v>
      </c>
      <c r="H31" s="1">
        <v>93</v>
      </c>
      <c r="I31" s="1">
        <v>72</v>
      </c>
      <c r="J31" s="1">
        <v>78</v>
      </c>
      <c r="K31" s="2" cm="1">
        <f t="array" ref="K31">ROUNDUP(_xlfn.IFS($C31=2,H31/20,$C31=3,H31/18,$C31=4,H31/16),2)</f>
        <v>5.8199999999999994</v>
      </c>
      <c r="L31" s="2" cm="1">
        <f t="array" ref="L31">ROUNDUP(_xlfn.IFS($C31=2,I31/20,$C31=3,I31/18,$C31=4,I31/16),2)</f>
        <v>4.5</v>
      </c>
      <c r="M31" s="2" cm="1">
        <f t="array" ref="M31">ROUNDUP(_xlfn.IFS($C31=2,J31/20,$C31=3,J31/18,$C31=4,J31/16),2)</f>
        <v>4.88</v>
      </c>
      <c r="N31" s="1">
        <f>SUM(K31:M31)</f>
        <v>15.2</v>
      </c>
      <c r="O31" s="3" t="str">
        <f t="shared" si="0"/>
        <v>{ id: 'b18', name: '蝴蝶 波尔30周年', tier: '4', price: '14220', rankReq: '80', sponsorBrand: '蝴蝶 (Butterfly)', speed: 5.82,spin: 4.5, control: 4.88},</v>
      </c>
    </row>
    <row r="32" spans="1:15" x14ac:dyDescent="0.35">
      <c r="A32" s="1" t="s">
        <v>30</v>
      </c>
      <c r="B32" s="2" t="s">
        <v>61</v>
      </c>
      <c r="C32" s="1">
        <v>4</v>
      </c>
      <c r="D32" s="1">
        <v>344</v>
      </c>
      <c r="E32" s="1">
        <f>D32*30</f>
        <v>10320</v>
      </c>
      <c r="F32" s="1">
        <v>80</v>
      </c>
      <c r="G32" s="1" t="s">
        <v>54</v>
      </c>
      <c r="H32" s="1">
        <v>93</v>
      </c>
      <c r="I32" s="1">
        <v>62</v>
      </c>
      <c r="J32" s="1">
        <v>95</v>
      </c>
      <c r="K32" s="2" cm="1">
        <f t="array" ref="K32">ROUNDUP(_xlfn.IFS($C32=2,H32/20,$C32=3,H32/18,$C32=4,H32/16),2)</f>
        <v>5.8199999999999994</v>
      </c>
      <c r="L32" s="2" cm="1">
        <f t="array" ref="L32">ROUNDUP(_xlfn.IFS($C32=2,I32/20,$C32=3,I32/18,$C32=4,I32/16),2)</f>
        <v>3.88</v>
      </c>
      <c r="M32" s="2" cm="1">
        <f t="array" ref="M32">ROUNDUP(_xlfn.IFS($C32=2,J32/20,$C32=3,J32/18,$C32=4,J32/16),2)</f>
        <v>5.9399999999999995</v>
      </c>
      <c r="N32" s="1">
        <f>SUM(K32:M32)</f>
        <v>15.639999999999999</v>
      </c>
      <c r="O32" s="3" t="str">
        <f t="shared" ref="O32:O41" si="1">"{ id: '"&amp;A32&amp;"', name: '"&amp;B32&amp;"', tier: '"&amp;C32&amp;"', price: '"&amp;E32&amp;"', rankReq: '"&amp;F32&amp;"', sponsorBrand: '"&amp;G32&amp;"', speed: "&amp;K32&amp;",spin: "&amp;L32&amp;", control: "&amp;M32&amp;"},"</f>
        <v>{ id: 'b19', name: '蝴蝶 樊振东SZLC', tier: '4', price: '10320', rankReq: '80', sponsorBrand: '蝴蝶 (Butterfly)', speed: 5.82,spin: 3.88, control: 5.94},</v>
      </c>
    </row>
    <row r="33" spans="1:15" x14ac:dyDescent="0.35">
      <c r="A33" s="1" t="s">
        <v>31</v>
      </c>
      <c r="B33" s="2" t="s">
        <v>62</v>
      </c>
      <c r="C33" s="1">
        <v>4</v>
      </c>
      <c r="D33" s="1">
        <v>344</v>
      </c>
      <c r="E33" s="1">
        <f>D33*30</f>
        <v>10320</v>
      </c>
      <c r="F33" s="1">
        <v>80</v>
      </c>
      <c r="G33" s="1" t="s">
        <v>54</v>
      </c>
      <c r="H33" s="1">
        <v>96</v>
      </c>
      <c r="I33" s="1">
        <v>66</v>
      </c>
      <c r="J33" s="1">
        <v>85</v>
      </c>
      <c r="K33" s="2" cm="1">
        <f t="array" ref="K33">ROUNDUP(_xlfn.IFS($C33=2,H33/20,$C33=3,H33/18,$C33=4,H33/16),2)</f>
        <v>6</v>
      </c>
      <c r="L33" s="2" cm="1">
        <f t="array" ref="L33">ROUNDUP(_xlfn.IFS($C33=2,I33/20,$C33=3,I33/18,$C33=4,I33/16),2)</f>
        <v>4.13</v>
      </c>
      <c r="M33" s="2" cm="1">
        <f t="array" ref="M33">ROUNDUP(_xlfn.IFS($C33=2,J33/20,$C33=3,J33/18,$C33=4,J33/16),2)</f>
        <v>5.3199999999999994</v>
      </c>
      <c r="N33" s="1">
        <f>SUM(K33:M33)</f>
        <v>15.45</v>
      </c>
      <c r="O33" s="3" t="str">
        <f t="shared" si="1"/>
        <v>{ id: 'b20', name: '蝴蝶 张本SZLC', tier: '4', price: '10320', rankReq: '80', sponsorBrand: '蝴蝶 (Butterfly)', speed: 6,spin: 4.13, control: 5.32},</v>
      </c>
    </row>
    <row r="34" spans="1:15" x14ac:dyDescent="0.35">
      <c r="A34" s="1" t="s">
        <v>32</v>
      </c>
      <c r="B34" s="2" t="s">
        <v>63</v>
      </c>
      <c r="C34" s="1">
        <v>4</v>
      </c>
      <c r="D34" s="1">
        <v>344</v>
      </c>
      <c r="E34" s="1">
        <f>D34*30</f>
        <v>10320</v>
      </c>
      <c r="F34" s="1">
        <v>80</v>
      </c>
      <c r="G34" s="1" t="s">
        <v>54</v>
      </c>
      <c r="H34" s="1">
        <v>93</v>
      </c>
      <c r="I34" s="1">
        <v>63</v>
      </c>
      <c r="J34" s="1">
        <v>92</v>
      </c>
      <c r="K34" s="2" cm="1">
        <f t="array" ref="K34">ROUNDUP(_xlfn.IFS($C34=2,H34/20,$C34=3,H34/18,$C34=4,H34/16),2)</f>
        <v>5.8199999999999994</v>
      </c>
      <c r="L34" s="2" cm="1">
        <f t="array" ref="L34">ROUNDUP(_xlfn.IFS($C34=2,I34/20,$C34=3,I34/18,$C34=4,I34/16),2)</f>
        <v>3.94</v>
      </c>
      <c r="M34" s="2" cm="1">
        <f t="array" ref="M34">ROUNDUP(_xlfn.IFS($C34=2,J34/20,$C34=3,J34/18,$C34=4,J34/16),2)</f>
        <v>5.75</v>
      </c>
      <c r="N34" s="1">
        <f>SUM(K34:M34)</f>
        <v>15.51</v>
      </c>
      <c r="O34" s="3" t="str">
        <f t="shared" si="1"/>
        <v>{ id: 'b21', name: '蝴蝶 林昀儒SZLC', tier: '4', price: '10320', rankReq: '80', sponsorBrand: '蝴蝶 (Butterfly)', speed: 5.82,spin: 3.94, control: 5.75},</v>
      </c>
    </row>
    <row r="35" spans="1:15" x14ac:dyDescent="0.35">
      <c r="A35" s="1" t="s">
        <v>33</v>
      </c>
      <c r="B35" s="2" t="s">
        <v>64</v>
      </c>
      <c r="C35" s="1">
        <v>4</v>
      </c>
      <c r="D35" s="1">
        <v>344</v>
      </c>
      <c r="E35" s="1">
        <f>D35*30</f>
        <v>10320</v>
      </c>
      <c r="F35" s="1">
        <v>80</v>
      </c>
      <c r="G35" s="1" t="s">
        <v>54</v>
      </c>
      <c r="H35" s="1">
        <v>94</v>
      </c>
      <c r="I35" s="1">
        <v>63</v>
      </c>
      <c r="J35" s="1">
        <v>88</v>
      </c>
      <c r="K35" s="2" cm="1">
        <f t="array" ref="K35">ROUNDUP(_xlfn.IFS($C35=2,H35/20,$C35=3,H35/18,$C35=4,H35/16),2)</f>
        <v>5.88</v>
      </c>
      <c r="L35" s="2" cm="1">
        <f t="array" ref="L35">ROUNDUP(_xlfn.IFS($C35=2,I35/20,$C35=3,I35/18,$C35=4,I35/16),2)</f>
        <v>3.94</v>
      </c>
      <c r="M35" s="2" cm="1">
        <f t="array" ref="M35">ROUNDUP(_xlfn.IFS($C35=2,J35/20,$C35=3,J35/18,$C35=4,J35/16),2)</f>
        <v>5.5</v>
      </c>
      <c r="N35" s="1">
        <f>SUM(K35:M35)</f>
        <v>15.32</v>
      </c>
      <c r="O35" s="3" t="str">
        <f t="shared" si="1"/>
        <v>{ id: 'b22', name: '蝴蝶 水谷SZLC', tier: '4', price: '10320', rankReq: '80', sponsorBrand: '蝴蝶 (Butterfly)', speed: 5.88,spin: 3.94, control: 5.5},</v>
      </c>
    </row>
    <row r="36" spans="1:15" x14ac:dyDescent="0.35">
      <c r="A36" s="1" t="s">
        <v>34</v>
      </c>
      <c r="B36" s="2" t="s">
        <v>65</v>
      </c>
      <c r="C36" s="1">
        <v>4</v>
      </c>
      <c r="D36" s="1">
        <v>232</v>
      </c>
      <c r="E36" s="1">
        <f>D36*30</f>
        <v>6960</v>
      </c>
      <c r="F36" s="1">
        <v>80</v>
      </c>
      <c r="G36" s="1" t="s">
        <v>54</v>
      </c>
      <c r="H36" s="1">
        <v>86</v>
      </c>
      <c r="I36" s="1">
        <v>68</v>
      </c>
      <c r="J36" s="1">
        <v>72</v>
      </c>
      <c r="K36" s="2" cm="1">
        <f t="array" ref="K36">ROUNDUP(_xlfn.IFS($C36=2,H36/20,$C36=3,H36/18,$C36=4,H36/16),2)</f>
        <v>5.38</v>
      </c>
      <c r="L36" s="2" cm="1">
        <f t="array" ref="L36">ROUNDUP(_xlfn.IFS($C36=2,I36/20,$C36=3,I36/18,$C36=4,I36/16),2)</f>
        <v>4.25</v>
      </c>
      <c r="M36" s="2" cm="1">
        <f t="array" ref="M36">ROUNDUP(_xlfn.IFS($C36=2,J36/20,$C36=3,J36/18,$C36=4,J36/16),2)</f>
        <v>4.5</v>
      </c>
      <c r="N36" s="1">
        <f>SUM(K36:M36)</f>
        <v>14.129999999999999</v>
      </c>
      <c r="O36" s="3" t="str">
        <f t="shared" si="1"/>
        <v>{ id: 'b23', name: '蝴蝶 樊振东ZLC', tier: '4', price: '6960', rankReq: '80', sponsorBrand: '蝴蝶 (Butterfly)', speed: 5.38,spin: 4.25, control: 4.5},</v>
      </c>
    </row>
    <row r="37" spans="1:15" x14ac:dyDescent="0.35">
      <c r="A37" s="1" t="s">
        <v>55</v>
      </c>
      <c r="B37" s="2" t="s">
        <v>84</v>
      </c>
      <c r="C37" s="1">
        <v>4</v>
      </c>
      <c r="D37" s="1">
        <v>232</v>
      </c>
      <c r="E37" s="1">
        <f>D37*30</f>
        <v>6960</v>
      </c>
      <c r="F37" s="1">
        <v>80</v>
      </c>
      <c r="G37" s="1" t="s">
        <v>54</v>
      </c>
      <c r="H37" s="1">
        <v>88</v>
      </c>
      <c r="I37" s="1">
        <v>78</v>
      </c>
      <c r="J37" s="1">
        <v>82</v>
      </c>
      <c r="K37" s="2" cm="1">
        <f t="array" ref="K37">ROUNDUP(_xlfn.IFS($C37=2,H37/20,$C37=3,H37/18,$C37=4,H37/16),2)</f>
        <v>5.5</v>
      </c>
      <c r="L37" s="2" cm="1">
        <f t="array" ref="L37">ROUNDUP(_xlfn.IFS($C37=2,I37/20,$C37=3,I37/18,$C37=4,I37/16),2)</f>
        <v>4.88</v>
      </c>
      <c r="M37" s="2" cm="1">
        <f t="array" ref="M37">ROUNDUP(_xlfn.IFS($C37=2,J37/20,$C37=3,J37/18,$C37=4,J37/16),2)</f>
        <v>5.13</v>
      </c>
      <c r="N37" s="1">
        <f>SUM(K37:M37)</f>
        <v>15.509999999999998</v>
      </c>
      <c r="O37" s="3" t="str">
        <f t="shared" si="1"/>
        <v>{ id: 'b24', name: '蝴蝶 弗朗西斯卡ZLC', tier: '4', price: '6960', rankReq: '80', sponsorBrand: '蝴蝶 (Butterfly)', speed: 5.5,spin: 4.88, control: 5.13},</v>
      </c>
    </row>
    <row r="38" spans="1:15" x14ac:dyDescent="0.35">
      <c r="A38" s="1" t="s">
        <v>56</v>
      </c>
      <c r="B38" s="2" t="s">
        <v>66</v>
      </c>
      <c r="C38" s="1">
        <v>4</v>
      </c>
      <c r="D38" s="1">
        <v>232</v>
      </c>
      <c r="E38" s="1">
        <f>D38*30</f>
        <v>6960</v>
      </c>
      <c r="F38" s="1">
        <v>80</v>
      </c>
      <c r="G38" s="1" t="s">
        <v>54</v>
      </c>
      <c r="H38" s="1">
        <v>88</v>
      </c>
      <c r="I38" s="1">
        <v>72</v>
      </c>
      <c r="J38" s="1">
        <v>76</v>
      </c>
      <c r="K38" s="2" cm="1">
        <f t="array" ref="K38">ROUNDUP(_xlfn.IFS($C38=2,H38/20,$C38=3,H38/18,$C38=4,H38/16),2)</f>
        <v>5.5</v>
      </c>
      <c r="L38" s="2" cm="1">
        <f t="array" ref="L38">ROUNDUP(_xlfn.IFS($C38=2,I38/20,$C38=3,I38/18,$C38=4,I38/16),2)</f>
        <v>4.5</v>
      </c>
      <c r="M38" s="2" cm="1">
        <f t="array" ref="M38">ROUNDUP(_xlfn.IFS($C38=2,J38/20,$C38=3,J38/18,$C38=4,J38/16),2)</f>
        <v>4.75</v>
      </c>
      <c r="N38" s="1">
        <f>SUM(K38:M38)</f>
        <v>14.75</v>
      </c>
      <c r="O38" s="3" t="str">
        <f t="shared" si="1"/>
        <v>{ id: 'b25', name: '蝴蝶 张本ZLC', tier: '4', price: '6960', rankReq: '80', sponsorBrand: '蝴蝶 (Butterfly)', speed: 5.5,spin: 4.5, control: 4.75},</v>
      </c>
    </row>
    <row r="39" spans="1:15" x14ac:dyDescent="0.35">
      <c r="A39" s="1" t="s">
        <v>57</v>
      </c>
      <c r="B39" s="2" t="s">
        <v>67</v>
      </c>
      <c r="C39" s="1">
        <v>4</v>
      </c>
      <c r="D39" s="1">
        <v>232</v>
      </c>
      <c r="E39" s="1">
        <f>D39*30</f>
        <v>6960</v>
      </c>
      <c r="F39" s="1">
        <v>80</v>
      </c>
      <c r="G39" s="1" t="s">
        <v>54</v>
      </c>
      <c r="H39" s="1">
        <v>92</v>
      </c>
      <c r="I39" s="1">
        <v>66</v>
      </c>
      <c r="J39" s="1">
        <v>82</v>
      </c>
      <c r="K39" s="2" cm="1">
        <f t="array" ref="K39">ROUNDUP(_xlfn.IFS($C39=2,H39/20,$C39=3,H39/18,$C39=4,H39/16),2)</f>
        <v>5.75</v>
      </c>
      <c r="L39" s="2" cm="1">
        <f t="array" ref="L39">ROUNDUP(_xlfn.IFS($C39=2,I39/20,$C39=3,I39/18,$C39=4,I39/16),2)</f>
        <v>4.13</v>
      </c>
      <c r="M39" s="2" cm="1">
        <f t="array" ref="M39">ROUNDUP(_xlfn.IFS($C39=2,J39/20,$C39=3,J39/18,$C39=4,J39/16),2)</f>
        <v>5.13</v>
      </c>
      <c r="N39" s="1">
        <f>SUM(K39:M39)</f>
        <v>15.009999999999998</v>
      </c>
      <c r="O39" s="3" t="str">
        <f t="shared" si="1"/>
        <v>{ id: 'b26', name: '蝴蝶 超级维斯ALC', tier: '4', price: '6960', rankReq: '80', sponsorBrand: '蝴蝶 (Butterfly)', speed: 5.75,spin: 4.13, control: 5.13},</v>
      </c>
    </row>
    <row r="40" spans="1:15" x14ac:dyDescent="0.35">
      <c r="A40" s="1" t="s">
        <v>58</v>
      </c>
      <c r="B40" s="2" t="s">
        <v>68</v>
      </c>
      <c r="C40" s="1">
        <v>4</v>
      </c>
      <c r="D40" s="1">
        <v>215</v>
      </c>
      <c r="E40" s="1">
        <f>D40*30</f>
        <v>6450</v>
      </c>
      <c r="F40" s="1">
        <v>80</v>
      </c>
      <c r="G40" s="1" t="s">
        <v>54</v>
      </c>
      <c r="H40" s="1">
        <v>88</v>
      </c>
      <c r="I40" s="1">
        <v>70</v>
      </c>
      <c r="J40" s="1">
        <v>78</v>
      </c>
      <c r="K40" s="2" cm="1">
        <f t="array" ref="K40">ROUNDUP(_xlfn.IFS($C40=2,H40/20,$C40=3,H40/18,$C40=4,H40/16),2)</f>
        <v>5.5</v>
      </c>
      <c r="L40" s="2" cm="1">
        <f t="array" ref="L40">ROUNDUP(_xlfn.IFS($C40=2,I40/20,$C40=3,I40/18,$C40=4,I40/16),2)</f>
        <v>4.38</v>
      </c>
      <c r="M40" s="2" cm="1">
        <f t="array" ref="M40">ROUNDUP(_xlfn.IFS($C40=2,J40/20,$C40=3,J40/18,$C40=4,J40/16),2)</f>
        <v>4.88</v>
      </c>
      <c r="N40" s="1">
        <f>SUM(K40:M40)</f>
        <v>14.759999999999998</v>
      </c>
      <c r="O40" s="3" t="str">
        <f t="shared" si="1"/>
        <v>{ id: 'b27', name: '蝴蝶 樊振东SALC', tier: '4', price: '6450', rankReq: '80', sponsorBrand: '蝴蝶 (Butterfly)', speed: 5.5,spin: 4.38, control: 4.88},</v>
      </c>
    </row>
    <row r="41" spans="1:15" x14ac:dyDescent="0.35">
      <c r="A41" s="1" t="s">
        <v>59</v>
      </c>
      <c r="B41" s="2" t="s">
        <v>69</v>
      </c>
      <c r="C41" s="1">
        <v>4</v>
      </c>
      <c r="D41" s="1">
        <v>215</v>
      </c>
      <c r="E41" s="1">
        <f>D41*30</f>
        <v>6450</v>
      </c>
      <c r="F41" s="1">
        <v>80</v>
      </c>
      <c r="G41" s="1" t="s">
        <v>54</v>
      </c>
      <c r="H41" s="1">
        <v>94</v>
      </c>
      <c r="I41" s="1">
        <v>75</v>
      </c>
      <c r="J41" s="1">
        <v>82</v>
      </c>
      <c r="K41" s="2" cm="1">
        <f t="array" ref="K41">ROUNDUP(_xlfn.IFS($C41=2,H41/20,$C41=3,H41/18,$C41=4,H41/16),2)</f>
        <v>5.88</v>
      </c>
      <c r="L41" s="2" cm="1">
        <f t="array" ref="L41">ROUNDUP(_xlfn.IFS($C41=2,I41/20,$C41=3,I41/18,$C41=4,I41/16),2)</f>
        <v>4.6899999999999995</v>
      </c>
      <c r="M41" s="2" cm="1">
        <f t="array" ref="M41">ROUNDUP(_xlfn.IFS($C41=2,J41/20,$C41=3,J41/18,$C41=4,J41/16),2)</f>
        <v>5.13</v>
      </c>
      <c r="N41" s="1">
        <f>SUM(K41:M41)</f>
        <v>15.7</v>
      </c>
      <c r="O41" s="3" t="str">
        <f t="shared" si="1"/>
        <v>{ id: 'b28', name: '蝴蝶 张本SALC', tier: '4', price: '6450', rankReq: '80', sponsorBrand: '蝴蝶 (Butterfly)', speed: 5.88,spin: 4.69, control: 5.13},</v>
      </c>
    </row>
    <row r="42" spans="1:15" x14ac:dyDescent="0.35">
      <c r="A42" s="1" t="s">
        <v>79</v>
      </c>
      <c r="B42" s="2" t="s">
        <v>98</v>
      </c>
      <c r="C42" s="1">
        <v>4</v>
      </c>
      <c r="D42" s="1">
        <v>454</v>
      </c>
      <c r="E42" s="1">
        <f>D42*30</f>
        <v>13620</v>
      </c>
      <c r="F42" s="1">
        <v>80</v>
      </c>
      <c r="G42" s="1" t="s">
        <v>99</v>
      </c>
      <c r="H42" s="1">
        <v>92</v>
      </c>
      <c r="I42" s="1">
        <v>75</v>
      </c>
      <c r="J42" s="1">
        <v>85</v>
      </c>
      <c r="K42" s="2" cm="1">
        <f t="array" ref="K42">ROUNDUP(_xlfn.IFS($C42=2,H42/20,$C42=3,H42/18,$C42=4,H42/16),2)</f>
        <v>5.75</v>
      </c>
      <c r="L42" s="2" cm="1">
        <f t="array" ref="L42">ROUNDUP(_xlfn.IFS($C42=2,I42/20,$C42=3,I42/18,$C42=4,I42/16),2)</f>
        <v>4.6899999999999995</v>
      </c>
      <c r="M42" s="2" cm="1">
        <f t="array" ref="M42">ROUNDUP(_xlfn.IFS($C42=2,J42/20,$C42=3,J42/18,$C42=4,J42/16),2)</f>
        <v>5.3199999999999994</v>
      </c>
      <c r="N42" s="1">
        <f>SUM(K42:M42)</f>
        <v>15.759999999999998</v>
      </c>
      <c r="O42" s="3" t="str">
        <f t="shared" ref="O42:O48" si="2">"{ id: '"&amp;A42&amp;"', name: '"&amp;B42&amp;"', tier: '"&amp;C42&amp;"', price: '"&amp;E42&amp;"', rankReq: '"&amp;F42&amp;"', sponsorBrand: '"&amp;G42&amp;"', speed: "&amp;K42&amp;",spin: "&amp;L42&amp;", control: "&amp;M42&amp;"},"</f>
        <v>{ id: 'b39', name: '红双喜 龙5 W968S', tier: '4', price: '13620', rankReq: '80', sponsorBrand: '红双喜 (DHS)', speed: 5.75,spin: 4.69, control: 5.32},</v>
      </c>
    </row>
    <row r="43" spans="1:15" x14ac:dyDescent="0.35">
      <c r="A43" s="1" t="s">
        <v>91</v>
      </c>
      <c r="B43" s="2" t="s">
        <v>100</v>
      </c>
      <c r="C43" s="1">
        <v>4</v>
      </c>
      <c r="D43" s="1">
        <v>421</v>
      </c>
      <c r="E43" s="1">
        <f>D43*30</f>
        <v>12630</v>
      </c>
      <c r="F43" s="1">
        <v>80</v>
      </c>
      <c r="G43" s="1" t="s">
        <v>99</v>
      </c>
      <c r="H43" s="1">
        <v>87</v>
      </c>
      <c r="I43" s="1">
        <v>78</v>
      </c>
      <c r="J43" s="1">
        <v>58</v>
      </c>
      <c r="K43" s="2" cm="1">
        <f t="array" ref="K43">ROUNDUP(_xlfn.IFS($C43=2,H43/20,$C43=3,H43/18,$C43=4,H43/16),2)</f>
        <v>5.4399999999999995</v>
      </c>
      <c r="L43" s="2" cm="1">
        <f t="array" ref="L43">ROUNDUP(_xlfn.IFS($C43=2,I43/20,$C43=3,I43/18,$C43=4,I43/16),2)</f>
        <v>4.88</v>
      </c>
      <c r="M43" s="2" cm="1">
        <f t="array" ref="M43">ROUNDUP(_xlfn.IFS($C43=2,J43/20,$C43=3,J43/18,$C43=4,J43/16),2)</f>
        <v>3.63</v>
      </c>
      <c r="N43" s="1">
        <f>SUM(K43:M43)</f>
        <v>13.95</v>
      </c>
      <c r="O43" s="3" t="str">
        <f t="shared" si="2"/>
        <v>{ id: 'b40', name: '红双喜 Q968', tier: '4', price: '12630', rankReq: '80', sponsorBrand: '红双喜 (DHS)', speed: 5.44,spin: 4.88, control: 3.63},</v>
      </c>
    </row>
    <row r="44" spans="1:15" x14ac:dyDescent="0.35">
      <c r="A44" s="1" t="s">
        <v>92</v>
      </c>
      <c r="B44" s="2" t="s">
        <v>101</v>
      </c>
      <c r="C44" s="1">
        <v>4</v>
      </c>
      <c r="D44" s="1">
        <v>421</v>
      </c>
      <c r="E44" s="1">
        <f>D44*30</f>
        <v>12630</v>
      </c>
      <c r="F44" s="1">
        <v>80</v>
      </c>
      <c r="G44" s="1" t="s">
        <v>99</v>
      </c>
      <c r="H44" s="1">
        <v>94</v>
      </c>
      <c r="I44" s="1">
        <v>71</v>
      </c>
      <c r="J44" s="1">
        <v>80</v>
      </c>
      <c r="K44" s="2" cm="1">
        <f t="array" ref="K44">ROUNDUP(_xlfn.IFS($C44=2,H44/20,$C44=3,H44/18,$C44=4,H44/16),2)</f>
        <v>5.88</v>
      </c>
      <c r="L44" s="2" cm="1">
        <f t="array" ref="L44">ROUNDUP(_xlfn.IFS($C44=2,I44/20,$C44=3,I44/18,$C44=4,I44/16),2)</f>
        <v>4.4399999999999995</v>
      </c>
      <c r="M44" s="2" cm="1">
        <f t="array" ref="M44">ROUNDUP(_xlfn.IFS($C44=2,J44/20,$C44=3,J44/18,$C44=4,J44/16),2)</f>
        <v>5</v>
      </c>
      <c r="N44" s="1">
        <f>SUM(K44:M44)</f>
        <v>15.32</v>
      </c>
      <c r="O44" s="3" t="str">
        <f t="shared" si="2"/>
        <v>{ id: 'b41', name: '红双喜 龙5X', tier: '4', price: '12630', rankReq: '80', sponsorBrand: '红双喜 (DHS)', speed: 5.88,spin: 4.44, control: 5},</v>
      </c>
    </row>
    <row r="45" spans="1:15" x14ac:dyDescent="0.35">
      <c r="A45" s="1" t="s">
        <v>93</v>
      </c>
      <c r="B45" s="2" t="s">
        <v>102</v>
      </c>
      <c r="C45" s="1">
        <v>4</v>
      </c>
      <c r="D45" s="1">
        <v>333</v>
      </c>
      <c r="E45" s="1">
        <f>D45*30</f>
        <v>9990</v>
      </c>
      <c r="F45" s="1">
        <v>80</v>
      </c>
      <c r="G45" s="1" t="s">
        <v>99</v>
      </c>
      <c r="H45" s="1">
        <v>93</v>
      </c>
      <c r="I45" s="1">
        <v>65</v>
      </c>
      <c r="J45" s="1">
        <v>81</v>
      </c>
      <c r="K45" s="2" cm="1">
        <f t="array" ref="K45">ROUNDUP(_xlfn.IFS($C45=2,H45/20,$C45=3,H45/18,$C45=4,H45/16),2)</f>
        <v>5.8199999999999994</v>
      </c>
      <c r="L45" s="2" cm="1">
        <f t="array" ref="L45">ROUNDUP(_xlfn.IFS($C45=2,I45/20,$C45=3,I45/18,$C45=4,I45/16),2)</f>
        <v>4.0699999999999994</v>
      </c>
      <c r="M45" s="2" cm="1">
        <f t="array" ref="M45">ROUNDUP(_xlfn.IFS($C45=2,J45/20,$C45=3,J45/18,$C45=4,J45/16),2)</f>
        <v>5.0699999999999994</v>
      </c>
      <c r="N45" s="1">
        <f>SUM(K45:M45)</f>
        <v>14.959999999999997</v>
      </c>
      <c r="O45" s="3" t="str">
        <f t="shared" si="2"/>
        <v>{ id: 'b42', name: '红双喜 W968 金满贯', tier: '4', price: '9990', rankReq: '80', sponsorBrand: '红双喜 (DHS)', speed: 5.82,spin: 4.07, control: 5.07},</v>
      </c>
    </row>
    <row r="46" spans="1:15" x14ac:dyDescent="0.35">
      <c r="A46" s="1" t="s">
        <v>18</v>
      </c>
      <c r="B46" s="2" t="s">
        <v>47</v>
      </c>
      <c r="C46" s="1">
        <v>4</v>
      </c>
      <c r="D46" s="1">
        <v>180</v>
      </c>
      <c r="E46" s="1">
        <f>D46*30</f>
        <v>5400</v>
      </c>
      <c r="F46" s="1">
        <v>80</v>
      </c>
      <c r="G46" s="1" t="s">
        <v>38</v>
      </c>
      <c r="H46" s="1">
        <v>88</v>
      </c>
      <c r="I46" s="1">
        <v>72</v>
      </c>
      <c r="J46" s="1">
        <v>84</v>
      </c>
      <c r="K46" s="2" cm="1">
        <f t="array" ref="K46">ROUNDUP(_xlfn.IFS($C46=2,H46/20,$C46=3,H46/18,$C46=4,H46/16),2)</f>
        <v>5.5</v>
      </c>
      <c r="L46" s="2" cm="1">
        <f t="array" ref="L46">ROUNDUP(_xlfn.IFS($C46=2,I46/20,$C46=3,I46/18,$C46=4,I46/16),2)</f>
        <v>4.5</v>
      </c>
      <c r="M46" s="2" cm="1">
        <f t="array" ref="M46">ROUNDUP(_xlfn.IFS($C46=2,J46/20,$C46=3,J46/18,$C46=4,J46/16),2)</f>
        <v>5.25</v>
      </c>
      <c r="N46" s="1">
        <f>SUM(K46:M46)</f>
        <v>15.25</v>
      </c>
      <c r="O46" s="3" t="str">
        <f t="shared" si="2"/>
        <v>{ id: 'b7', name: '雷神 LJK ALC 粉特注', tier: '4', price: '5400', rankReq: '80', sponsorBrand: '雷神 (LOKI)', speed: 5.5,spin: 4.5, control: 5.25},</v>
      </c>
    </row>
    <row r="47" spans="1:15" x14ac:dyDescent="0.35">
      <c r="A47" s="1" t="s">
        <v>96</v>
      </c>
      <c r="E47" s="1">
        <f>D47*30</f>
        <v>0</v>
      </c>
      <c r="K47" s="2" t="e" cm="1">
        <f t="array" ref="K47">ROUNDUP(_xlfn.IFS($C47=2,H47/20,$C47=3,H47/18,$C47=4,H47/16),2)</f>
        <v>#N/A</v>
      </c>
      <c r="L47" s="2" t="e" cm="1">
        <f t="array" ref="L47">ROUNDUP(_xlfn.IFS($C47=2,I47/20,$C47=3,I47/18,$C47=4,I47/16),2)</f>
        <v>#N/A</v>
      </c>
      <c r="M47" s="2" t="e" cm="1">
        <f t="array" ref="M47">ROUNDUP(_xlfn.IFS($C47=2,J47/20,$C47=3,J47/18,$C47=4,J47/16),2)</f>
        <v>#N/A</v>
      </c>
      <c r="N47" s="1" t="e">
        <f>SUM(K47:M47)</f>
        <v>#N/A</v>
      </c>
      <c r="O47" s="3" t="e">
        <f t="shared" si="2"/>
        <v>#N/A</v>
      </c>
    </row>
    <row r="48" spans="1:15" x14ac:dyDescent="0.35">
      <c r="A48" s="1" t="s">
        <v>97</v>
      </c>
      <c r="E48" s="1">
        <f>D48*30</f>
        <v>0</v>
      </c>
      <c r="K48" s="2" t="e" cm="1">
        <f t="array" ref="K48">ROUNDUP(_xlfn.IFS($C48=2,H48/20,$C48=3,H48/18,$C48=4,H48/16),2)</f>
        <v>#N/A</v>
      </c>
      <c r="L48" s="2" t="e" cm="1">
        <f t="array" ref="L48">ROUNDUP(_xlfn.IFS($C48=2,I48/20,$C48=3,I48/18,$C48=4,I48/16),2)</f>
        <v>#N/A</v>
      </c>
      <c r="M48" s="2" t="e" cm="1">
        <f t="array" ref="M48">ROUNDUP(_xlfn.IFS($C48=2,J48/20,$C48=3,J48/18,$C48=4,J48/16),2)</f>
        <v>#N/A</v>
      </c>
      <c r="N48" s="1" t="e">
        <f>SUM(K48:M48)</f>
        <v>#N/A</v>
      </c>
      <c r="O48" s="3" t="e">
        <f t="shared" si="2"/>
        <v>#N/A</v>
      </c>
    </row>
  </sheetData>
  <autoFilter ref="A2:N2" xr:uid="{552651CF-8E6F-4E2C-8A94-4B02FC0A4D09}">
    <sortState xmlns:xlrd2="http://schemas.microsoft.com/office/spreadsheetml/2017/richdata2" ref="A3:N48">
      <sortCondition ref="C2"/>
    </sortState>
  </autoFilter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7C228-8C01-404C-9DA3-A258085C8B6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6C356-B194-4CB7-B727-947C56A3F91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321F1-F8B2-4FE4-9D34-DD1458D6DA5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CDF46-6398-4FCB-929E-D9AF98BFE1A9}">
  <dimension ref="A1"/>
  <sheetViews>
    <sheetView workbookViewId="0"/>
  </sheetViews>
  <sheetFormatPr defaultRowHeight="14.4" x14ac:dyDescent="0.3"/>
  <sheetData>
    <row r="1" spans="1:1" x14ac:dyDescent="0.3">
      <c r="A1" t="s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B6E8C-EAFC-4580-A5A3-5572085F2D65}">
  <dimension ref="A1"/>
  <sheetViews>
    <sheetView workbookViewId="0"/>
  </sheetViews>
  <sheetFormatPr defaultRowHeight="14.4" x14ac:dyDescent="0.3"/>
  <sheetData>
    <row r="1" spans="1:1" x14ac:dyDescent="0.3">
      <c r="A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blade</vt:lpstr>
      <vt:lpstr>fh</vt:lpstr>
      <vt:lpstr>bh</vt:lpstr>
      <vt:lpstr>shoes</vt:lpstr>
      <vt:lpstr>gear</vt:lpstr>
      <vt:lpstr>commercial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 TZE KIT</dc:creator>
  <cp:lastModifiedBy>LAM TZE KIT</cp:lastModifiedBy>
  <dcterms:created xsi:type="dcterms:W3CDTF">2026-08-21T01:21:37Z</dcterms:created>
  <dcterms:modified xsi:type="dcterms:W3CDTF">2026-08-21T04:38:36Z</dcterms:modified>
</cp:coreProperties>
</file>